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ページ制作" sheetId="1" state="visible" r:id="rId3"/>
    <sheet name="小規模サイト制作" sheetId="2" state="visible" r:id="rId4"/>
  </sheets>
  <definedNames>
    <definedName function="false" hidden="false" localSheetId="0" name="_xlnm.Print_Area" vbProcedure="false">'1ページ制作'!$A$1:$H$62</definedName>
    <definedName function="false" hidden="false" localSheetId="1" name="_xlnm.Print_Area" vbProcedure="false">小規模サイト制作!$A$1:$H$62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<sst xmlns="http://schemas.openxmlformats.org/spreadsheetml/2006/main" count="168" uniqueCount="86">
  <si>
    <t xml:space="preserve">専門サイト工房 / pageatelier.jp</t>
  </si>
  <si>
    <t xml:space="preserve">見積書｜1ページ制作</t>
  </si>
  <si>
    <t xml:space="preserve">記入用ひな形：［ ］欄と案件条件を確定してから送付。緑文字の入力欄を編集してください。</t>
  </si>
  <si>
    <t xml:space="preserve">見積番号・版</t>
  </si>
  <si>
    <t xml:space="preserve">［PA-2026-001 / 第1版］</t>
  </si>
  <si>
    <t xml:space="preserve">発行日・有効期限</t>
  </si>
  <si>
    <t xml:space="preserve">［発行年月日］／［有効期限：発行日から14日等、具体的な年月日］</t>
  </si>
  <si>
    <t xml:space="preserve">宛先</t>
  </si>
  <si>
    <t xml:space="preserve">［正式法人名・代表者／個人事業主の正式氏名］</t>
  </si>
  <si>
    <t xml:space="preserve">案件名・対象サイト</t>
  </si>
  <si>
    <t xml:space="preserve">［案件名・URLまたは公開予定ドメイン］</t>
  </si>
  <si>
    <t xml:space="preserve">発行者（正式氏名）</t>
  </si>
  <si>
    <t xml:space="preserve">［運営者の正式氏名］（個人事業・サービス名：専門サイト工房）</t>
  </si>
  <si>
    <t xml:space="preserve">発行者住所・電話</t>
  </si>
  <si>
    <t xml:space="preserve">［郵便番号・正確な住所］／［連絡可能な電話番号］</t>
  </si>
  <si>
    <t xml:space="preserve">発行者メール</t>
  </si>
  <si>
    <t xml:space="preserve">yue.sadamatsu@gmail.com</t>
  </si>
  <si>
    <t xml:space="preserve">基本範囲</t>
  </si>
  <si>
    <t xml:space="preserve">1ページ・8セクションまで。原稿支給のプライバシーポリシー1ページはページ数外で掲載。</t>
  </si>
  <si>
    <t xml:space="preserve">ページ・掲載内容</t>
  </si>
  <si>
    <t xml:space="preserve">［別紙1と一致するページ／セクションの一覧・掲載量］</t>
  </si>
  <si>
    <t xml:space="preserve">含むもの</t>
  </si>
  <si>
    <t xml:space="preserve">構成・デザイン・スマホ対応・公開設定・検索向け基本設定・フォーム1つ・地図・外部予約/SNSリンク・軽微な修正2回</t>
  </si>
  <si>
    <t xml:space="preserve">対象外・追加機能</t>
  </si>
  <si>
    <t xml:space="preserve">CMS・決済・会員・検索・独自予約・新規原稿・撮影・大幅な変更等は別途見積り。追加対応は下表と契約別紙で確定。</t>
  </si>
  <si>
    <t xml:space="preserve">No.</t>
  </si>
  <si>
    <t xml:space="preserve">制作項目</t>
  </si>
  <si>
    <t xml:space="preserve">数量</t>
  </si>
  <si>
    <t xml:space="preserve">単位</t>
  </si>
  <si>
    <t xml:space="preserve">税込単価</t>
  </si>
  <si>
    <t xml:space="preserve">税込金額</t>
  </si>
  <si>
    <t xml:space="preserve">1ページ制作</t>
  </si>
  <si>
    <t xml:space="preserve">式</t>
  </si>
  <si>
    <t xml:space="preserve">ページ追加（既存デザイン）</t>
  </si>
  <si>
    <t xml:space="preserve">ページ</t>
  </si>
  <si>
    <t xml:space="preserve">追加修正（3回目以降）</t>
  </si>
  <si>
    <t xml:space="preserve">回</t>
  </si>
  <si>
    <t xml:space="preserve">個別見積りの追加機能</t>
  </si>
  <si>
    <t xml:space="preserve">制作費総額（税込）</t>
  </si>
  <si>
    <t xml:space="preserve">うち消費税相当額（10％、総額から算出）</t>
  </si>
  <si>
    <t xml:space="preserve">追加単価は目安。掲載量・機能を確認して確定します。追加を含む場合は工程別内訳も調整。月額サポートは制作費に含みません。</t>
  </si>
  <si>
    <t xml:space="preserve">工程別内訳（キャンセル精算の根拠）</t>
  </si>
  <si>
    <t xml:space="preserve">構成・設計</t>
  </si>
  <si>
    <t xml:space="preserve">デザイン</t>
  </si>
  <si>
    <t xml:space="preserve">実装・フォーム等の設定</t>
  </si>
  <si>
    <t xml:space="preserve">確認・公開・引渡し（残り）</t>
  </si>
  <si>
    <t xml:space="preserve">工程金額合計（制作費総額と一致）</t>
  </si>
  <si>
    <t xml:space="preserve">配分は初期案。実際の作業に合わせて契約前に確定します。未完了の工程は作業記録・実施割合を示して精算し、工程に入っただけで全額請求しません。</t>
  </si>
  <si>
    <t xml:space="preserve">着手前50％</t>
  </si>
  <si>
    <t xml:space="preserve">支払期限：［年・月・日］</t>
  </si>
  <si>
    <t xml:space="preserve">最終確認後・公開前50％</t>
  </si>
  <si>
    <t xml:space="preserve">支払期限：［年・月・日／最終承認後の請求日を確定］</t>
  </si>
  <si>
    <t xml:space="preserve">制作開始・納期</t>
  </si>
  <si>
    <t xml:space="preserve">［開始予定日］／［最終確認案日］／［公開予定日］。仕様・必要素材・着手金が揃ってから14日間目安。</t>
  </si>
  <si>
    <t xml:space="preserve">見積条件・発注前の確認事項</t>
  </si>
  <si>
    <t xml:space="preserve">原稿・素材・確認</t>
  </si>
  <si>
    <t xml:space="preserve">原稿・写真は発注者支給。［支給期限・担当者］。完成案への回答は原則5営業日以内。無回答を自動承認とは扱いません。</t>
  </si>
  <si>
    <t xml:space="preserve">修正・追加作業</t>
  </si>
  <si>
    <t xml:space="preserve">軽微な修正2回。まとめた要望への対応を1回と数え、制作ミス・仕様不一致の修正は回数外。追加作業は金額・範囲・納期を事前合意。</t>
  </si>
  <si>
    <t xml:space="preserve">フォーム・外部サービス</t>
  </si>
  <si>
    <t xml:space="preserve">［送信項目・サービス・受信メール・受信承認担当］。制作体験で提案した機能はすべて基本料金に含むものではありません。</t>
  </si>
  <si>
    <t xml:space="preserve">対応環境・納品方法</t>
  </si>
  <si>
    <t xml:space="preserve">［確認ブラウザ・幅／納品ZIP・リポジトリ・更新案内／公開アカウントの管理者］</t>
  </si>
  <si>
    <t xml:space="preserve">公開・権利</t>
  </si>
  <si>
    <t xml:space="preserve">最終承認と残金入金後に公開・納品。新規成果物の権利移転・第三者ライセンス等は制作契約書で定めます。実績掲載は別途事前承諾。</t>
  </si>
  <si>
    <t xml:space="preserve">外部費用</t>
  </si>
  <si>
    <t xml:space="preserve">制作費とは別。［ドメイン・サーバー・有料サービス等の項目／金額／負担者／支払先・期限／なし］</t>
  </si>
  <si>
    <t xml:space="preserve">銀行振込先</t>
  </si>
  <si>
    <t xml:space="preserve">［銀行・支店・種別・口座番号・正式な口座名義］。振込手数料は発注者負担。</t>
  </si>
  <si>
    <t xml:space="preserve">契約前のキャンセル</t>
  </si>
  <si>
    <t xml:space="preserve">無料相談・見積りの段階では費用は発生しません。</t>
  </si>
  <si>
    <t xml:space="preserve">契約後・着手前</t>
  </si>
  <si>
    <t xml:space="preserve">受領金は原則返金。事前合意済みの外部実費が発生している場合は、その実費のみ精算。</t>
  </si>
  <si>
    <t xml:space="preserve">制作着手後</t>
  </si>
  <si>
    <t xml:space="preserve">実施済みの工程・作業割合と事前合意済み外部実費を根拠に精算。未実施分を請求せず、余剰金は精算額合意後10営業日以内に返金。</t>
  </si>
  <si>
    <t xml:space="preserve">不具合・契約不履行</t>
  </si>
  <si>
    <t xml:space="preserve">制作ミス・仕様不一致・制作側の不履行は、発注者都合のキャンセルとは区別し、契約と法令に従い修正・精算等を行います。</t>
  </si>
  <si>
    <t xml:space="preserve">任意の更新サポート</t>
  </si>
  <si>
    <t xml:space="preserve">月5,500円（税込）、月2回・合計60分まで、繰越なし。別の申込書で合意し、本見積りの制作費には含めません。</t>
  </si>
  <si>
    <t xml:space="preserve">個別条件・契約添付</t>
  </si>
  <si>
    <t xml:space="preserve">［なし／追加の合意事項］。この確定見積書PDFを、同じ番号・版の契約書に添付します。</t>
  </si>
  <si>
    <t xml:space="preserve">この見積書だけで制作を開始しません。正式情報・案件仕様・納期・支払期限・外部費用を確認し、契約書と別紙一式への双方の承諾を保存します。</t>
  </si>
  <si>
    <t xml:space="preserve">書類ひな形 2026-10-07  /  専門サイト工房  /  https://pageatelier.jp/</t>
  </si>
  <si>
    <t xml:space="preserve">見積書｜小規模サイト制作</t>
  </si>
  <si>
    <t xml:space="preserve">トップページを含む5ページまで。原稿支給のプライバシーポリシー1ページはページ数外で掲載。</t>
  </si>
  <si>
    <t xml:space="preserve">小規模サイト制作</t>
  </si>
</sst>
</file>

<file path=xl/styles.xml><?xml version="1.0" encoding="utf-8"?>
<styleSheet xmlns="http://schemas.openxmlformats.org/spreadsheetml/2006/main">
  <numFmts count="3">
    <numFmt numFmtId="164" formatCode="General"/>
    <numFmt numFmtId="165" formatCode="#,##0\円"/>
    <numFmt numFmtId="166" formatCode="0%"/>
  </numFmts>
  <fonts count="12">
    <font>
      <sz val="11"/>
      <color theme="1"/>
      <name val="Calibri"/>
      <family val="2"/>
      <charset val="1"/>
    </font>
    <font>
      <sz val="10"/>
      <name val="Arial"/>
      <family val="0"/>
    </font>
    <font>
      <sz val="10"/>
      <name val="Arial"/>
      <family val="0"/>
    </font>
    <font>
      <sz val="10"/>
      <name val="Arial"/>
      <family val="0"/>
    </font>
    <font>
      <sz val="10"/>
      <color rgb="FF111111"/>
      <name val="Noto Sans CJK JP"/>
      <family val="0"/>
      <charset val="1"/>
    </font>
    <font>
      <b val="true"/>
      <sz val="23"/>
      <color rgb="FF111111"/>
      <name val="Noto Sans CJK JP"/>
      <family val="0"/>
      <charset val="1"/>
    </font>
    <font>
      <b val="true"/>
      <sz val="10"/>
      <color rgb="FF111111"/>
      <name val="Noto Sans CJK JP"/>
      <family val="0"/>
      <charset val="1"/>
    </font>
    <font>
      <sz val="10"/>
      <color rgb="FF526657"/>
      <name val="Noto Sans CJK JP"/>
      <family val="0"/>
      <charset val="1"/>
    </font>
    <font>
      <sz val="11"/>
      <color theme="1"/>
      <name val="Noto Sans CJK SC"/>
      <family val="2"/>
    </font>
    <font>
      <b val="true"/>
      <sz val="12"/>
      <color rgb="FF111111"/>
      <name val="Noto Sans CJK JP"/>
      <family val="0"/>
      <charset val="1"/>
    </font>
    <font>
      <b val="true"/>
      <sz val="15"/>
      <color rgb="FF111111"/>
      <name val="Noto Sans CJK JP"/>
      <family val="0"/>
      <charset val="1"/>
    </font>
    <font>
      <b val="true"/>
      <sz val="17"/>
      <color rgb="FF111111"/>
      <name val="Noto Sans CJK JP"/>
      <family val="0"/>
      <charset val="1"/>
    </font>
  </fonts>
  <fills count="3">
    <fill>
      <patternFill patternType="none"/>
    </fill>
    <fill>
      <patternFill patternType="gray125"/>
    </fill>
    <fill>
      <patternFill patternType="solid">
        <fgColor rgb="FFF4F4F0"/>
        <bgColor rgb="FFFFFFCC"/>
      </patternFill>
    </fill>
  </fills>
  <borders count="2">
    <border diagonalUp="false" diagonalDown="false">
      <left/>
      <right/>
      <top/>
      <bottom/>
      <diagonal/>
    </border>
    <border diagonalUp="false" diagonalDown="false">
      <left/>
      <right/>
      <top/>
      <bottom style="thin">
        <color rgb="FFC7C7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7" fillId="0" borderId="1" xfId="0" applyFont="true" applyBorder="true" applyAlignment="true" applyProtection="false">
      <alignment horizontal="general" vertical="center" textRotation="0" wrapText="true" indent="0" shrinkToFit="false"/>
      <protection locked="true" hidden="false"/>
    </xf>
    <xf numFmtId="165" fontId="4" fillId="0"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5" fontId="10" fillId="2"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6" fontId="7" fillId="0" borderId="1" xfId="0" applyFont="true" applyBorder="true" applyAlignment="true" applyProtection="false">
      <alignment horizontal="general" vertical="center" textRotation="0" wrapText="true" indent="0" shrinkToFit="false"/>
      <protection locked="true" hidden="false"/>
    </xf>
    <xf numFmtId="166" fontId="4" fillId="0" borderId="1" xfId="0" applyFont="true" applyBorder="tru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6" fontId="0" fillId="0" borderId="1" xfId="0" applyFont="false" applyBorder="true" applyAlignment="true" applyProtection="false">
      <alignment horizontal="general" vertical="center" textRotation="0" wrapText="true" indent="0" shrinkToFit="false"/>
      <protection locked="true" hidden="false"/>
    </xf>
    <xf numFmtId="165" fontId="4" fillId="2"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4F4F0"/>
      <rgbColor rgb="FFFF0000"/>
      <rgbColor rgb="FF00FF00"/>
      <rgbColor rgb="FF0000FF"/>
      <rgbColor rgb="FFFFFF00"/>
      <rgbColor rgb="FFFF00FF"/>
      <rgbColor rgb="FF00FFFF"/>
      <rgbColor rgb="FF800000"/>
      <rgbColor rgb="FF008000"/>
      <rgbColor rgb="FF000080"/>
      <rgbColor rgb="FF808000"/>
      <rgbColor rgb="FF800080"/>
      <rgbColor rgb="FF008080"/>
      <rgbColor rgb="FFC7C7BE"/>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6657"/>
      <rgbColor rgb="FF969696"/>
      <rgbColor rgb="FF003366"/>
      <rgbColor rgb="FF339966"/>
      <rgbColor rgb="FF11111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5"/>
    <col collapsed="false" customWidth="true" hidden="false" outlineLevel="0" max="3" min="3" style="0" width="19"/>
    <col collapsed="false" customWidth="true" hidden="false" outlineLevel="0" max="6" min="4" style="0" width="14"/>
    <col collapsed="false" customWidth="true" hidden="false" outlineLevel="0" max="8" min="7" style="0" width="18"/>
  </cols>
  <sheetData>
    <row r="1" customFormat="false" ht="21.75" hidden="false" customHeight="true" outlineLevel="0" collapsed="false">
      <c r="A1" s="1" t="s">
        <v>0</v>
      </c>
      <c r="B1" s="1"/>
      <c r="C1" s="1"/>
      <c r="D1" s="1"/>
      <c r="E1" s="1"/>
      <c r="F1" s="1"/>
      <c r="G1" s="1"/>
      <c r="H1" s="1"/>
    </row>
    <row r="2" customFormat="false" ht="39.75" hidden="false" customHeight="true" outlineLevel="0" collapsed="false">
      <c r="A2" s="2" t="s">
        <v>1</v>
      </c>
      <c r="B2" s="2"/>
      <c r="C2" s="2"/>
      <c r="D2" s="2"/>
      <c r="E2" s="2"/>
      <c r="F2" s="2"/>
      <c r="G2" s="2"/>
      <c r="H2" s="2"/>
    </row>
    <row r="3" customFormat="false" ht="27" hidden="false" customHeight="true" outlineLevel="0" collapsed="false">
      <c r="A3" s="3" t="s">
        <v>2</v>
      </c>
      <c r="B3" s="3"/>
      <c r="C3" s="3"/>
      <c r="D3" s="3"/>
      <c r="E3" s="3"/>
      <c r="F3" s="3"/>
      <c r="G3" s="3"/>
      <c r="H3" s="3"/>
    </row>
    <row r="5" customFormat="false" ht="30" hidden="false" customHeight="true" outlineLevel="0" collapsed="false">
      <c r="A5" s="4" t="s">
        <v>3</v>
      </c>
      <c r="B5" s="4"/>
      <c r="C5" s="5" t="s">
        <v>4</v>
      </c>
      <c r="D5" s="5"/>
      <c r="E5" s="5"/>
      <c r="F5" s="5"/>
      <c r="G5" s="5"/>
      <c r="H5" s="5"/>
    </row>
    <row r="6" customFormat="false" ht="30" hidden="false" customHeight="true" outlineLevel="0" collapsed="false">
      <c r="A6" s="4" t="s">
        <v>5</v>
      </c>
      <c r="B6" s="4"/>
      <c r="C6" s="5" t="s">
        <v>6</v>
      </c>
      <c r="D6" s="5"/>
      <c r="E6" s="5"/>
      <c r="F6" s="5"/>
      <c r="G6" s="5"/>
      <c r="H6" s="5"/>
    </row>
    <row r="7" customFormat="false" ht="30" hidden="false" customHeight="true" outlineLevel="0" collapsed="false">
      <c r="A7" s="4" t="s">
        <v>7</v>
      </c>
      <c r="B7" s="4"/>
      <c r="C7" s="5" t="s">
        <v>8</v>
      </c>
      <c r="D7" s="5"/>
      <c r="E7" s="5"/>
      <c r="F7" s="5"/>
      <c r="G7" s="5"/>
      <c r="H7" s="5"/>
    </row>
    <row r="8" customFormat="false" ht="30" hidden="false" customHeight="true" outlineLevel="0" collapsed="false">
      <c r="A8" s="4" t="s">
        <v>9</v>
      </c>
      <c r="B8" s="4"/>
      <c r="C8" s="5" t="s">
        <v>10</v>
      </c>
      <c r="D8" s="5"/>
      <c r="E8" s="5"/>
      <c r="F8" s="5"/>
      <c r="G8" s="5"/>
      <c r="H8" s="5"/>
    </row>
    <row r="9" customFormat="false" ht="30" hidden="false" customHeight="true" outlineLevel="0" collapsed="false">
      <c r="A9" s="4" t="s">
        <v>11</v>
      </c>
      <c r="B9" s="4"/>
      <c r="C9" s="5" t="s">
        <v>12</v>
      </c>
      <c r="D9" s="5"/>
      <c r="E9" s="5"/>
      <c r="F9" s="5"/>
      <c r="G9" s="5"/>
      <c r="H9" s="5"/>
    </row>
    <row r="10" customFormat="false" ht="30" hidden="false" customHeight="true" outlineLevel="0" collapsed="false">
      <c r="A10" s="4" t="s">
        <v>13</v>
      </c>
      <c r="B10" s="4"/>
      <c r="C10" s="5" t="s">
        <v>14</v>
      </c>
      <c r="D10" s="5"/>
      <c r="E10" s="5"/>
      <c r="F10" s="5"/>
      <c r="G10" s="5"/>
      <c r="H10" s="5"/>
    </row>
    <row r="11" customFormat="false" ht="30" hidden="false" customHeight="true" outlineLevel="0" collapsed="false">
      <c r="A11" s="4" t="s">
        <v>15</v>
      </c>
      <c r="B11" s="4"/>
      <c r="C11" s="1" t="s">
        <v>16</v>
      </c>
      <c r="D11" s="1"/>
      <c r="E11" s="1"/>
      <c r="F11" s="1"/>
      <c r="G11" s="1"/>
      <c r="H11" s="1"/>
    </row>
    <row r="13" customFormat="false" ht="37.5" hidden="false" customHeight="true" outlineLevel="0" collapsed="false">
      <c r="A13" s="4" t="s">
        <v>17</v>
      </c>
      <c r="B13" s="4"/>
      <c r="C13" s="1" t="s">
        <v>18</v>
      </c>
      <c r="D13" s="1"/>
      <c r="E13" s="1"/>
      <c r="F13" s="1"/>
      <c r="G13" s="1"/>
      <c r="H13" s="1"/>
    </row>
    <row r="14" customFormat="false" ht="39.75" hidden="false" customHeight="true" outlineLevel="0" collapsed="false">
      <c r="A14" s="4" t="s">
        <v>19</v>
      </c>
      <c r="B14" s="4"/>
      <c r="C14" s="5" t="s">
        <v>20</v>
      </c>
      <c r="D14" s="5"/>
      <c r="E14" s="5"/>
      <c r="F14" s="5"/>
      <c r="G14" s="5"/>
      <c r="H14" s="5"/>
    </row>
    <row r="15" customFormat="false" ht="45" hidden="false" customHeight="true" outlineLevel="0" collapsed="false">
      <c r="A15" s="4" t="s">
        <v>21</v>
      </c>
      <c r="B15" s="4"/>
      <c r="C15" s="1" t="s">
        <v>22</v>
      </c>
      <c r="D15" s="1"/>
      <c r="E15" s="1"/>
      <c r="F15" s="1"/>
      <c r="G15" s="1"/>
      <c r="H15" s="1"/>
    </row>
    <row r="16" customFormat="false" ht="43.5" hidden="false" customHeight="true" outlineLevel="0" collapsed="false">
      <c r="A16" s="4" t="s">
        <v>23</v>
      </c>
      <c r="B16" s="4"/>
      <c r="C16" s="1" t="s">
        <v>24</v>
      </c>
      <c r="D16" s="1"/>
      <c r="E16" s="1"/>
      <c r="F16" s="1"/>
      <c r="G16" s="1"/>
      <c r="H16" s="1"/>
    </row>
    <row r="18" customFormat="false" ht="24.75" hidden="false" customHeight="true" outlineLevel="0" collapsed="false">
      <c r="A18" s="6" t="s">
        <v>25</v>
      </c>
      <c r="B18" s="6" t="s">
        <v>26</v>
      </c>
      <c r="C18" s="6"/>
      <c r="D18" s="6" t="s">
        <v>27</v>
      </c>
      <c r="E18" s="6" t="s">
        <v>28</v>
      </c>
      <c r="F18" s="6" t="s">
        <v>29</v>
      </c>
      <c r="G18" s="6" t="s">
        <v>30</v>
      </c>
      <c r="H18" s="6"/>
    </row>
    <row r="19" customFormat="false" ht="28.5" hidden="false" customHeight="true" outlineLevel="0" collapsed="false">
      <c r="A19" s="7" t="n">
        <v>1</v>
      </c>
      <c r="B19" s="8" t="s">
        <v>31</v>
      </c>
      <c r="C19" s="8"/>
      <c r="D19" s="9" t="n">
        <v>1</v>
      </c>
      <c r="E19" s="10" t="s">
        <v>32</v>
      </c>
      <c r="F19" s="11" t="n">
        <v>55000</v>
      </c>
      <c r="G19" s="12" t="n">
        <f aca="false">D19*F19</f>
        <v>55000</v>
      </c>
      <c r="H19" s="12"/>
    </row>
    <row r="20" customFormat="false" ht="28.5" hidden="false" customHeight="true" outlineLevel="0" collapsed="false">
      <c r="A20" s="7" t="n">
        <v>2</v>
      </c>
      <c r="B20" s="8" t="s">
        <v>33</v>
      </c>
      <c r="C20" s="8"/>
      <c r="D20" s="9" t="n">
        <v>0</v>
      </c>
      <c r="E20" s="10" t="s">
        <v>34</v>
      </c>
      <c r="F20" s="11" t="n">
        <v>16500</v>
      </c>
      <c r="G20" s="12" t="n">
        <f aca="false">D20*F20</f>
        <v>0</v>
      </c>
      <c r="H20" s="12"/>
    </row>
    <row r="21" customFormat="false" ht="28.5" hidden="false" customHeight="true" outlineLevel="0" collapsed="false">
      <c r="A21" s="7" t="n">
        <v>3</v>
      </c>
      <c r="B21" s="8" t="s">
        <v>35</v>
      </c>
      <c r="C21" s="8"/>
      <c r="D21" s="9" t="n">
        <v>0</v>
      </c>
      <c r="E21" s="10" t="s">
        <v>36</v>
      </c>
      <c r="F21" s="11" t="n">
        <v>5500</v>
      </c>
      <c r="G21" s="12" t="n">
        <f aca="false">D21*F21</f>
        <v>0</v>
      </c>
      <c r="H21" s="12"/>
    </row>
    <row r="22" customFormat="false" ht="28.5" hidden="false" customHeight="true" outlineLevel="0" collapsed="false">
      <c r="A22" s="7" t="n">
        <v>4</v>
      </c>
      <c r="B22" s="8" t="s">
        <v>37</v>
      </c>
      <c r="C22" s="8"/>
      <c r="D22" s="9" t="n">
        <v>0</v>
      </c>
      <c r="E22" s="10" t="s">
        <v>32</v>
      </c>
      <c r="F22" s="11" t="n">
        <v>0</v>
      </c>
      <c r="G22" s="12" t="n">
        <f aca="false">D22*F22</f>
        <v>0</v>
      </c>
      <c r="H22" s="12"/>
    </row>
    <row r="24" customFormat="false" ht="36.75" hidden="false" customHeight="true" outlineLevel="0" collapsed="false">
      <c r="A24" s="13" t="s">
        <v>38</v>
      </c>
      <c r="B24" s="13"/>
      <c r="C24" s="13"/>
      <c r="D24" s="13"/>
      <c r="E24" s="13"/>
      <c r="F24" s="13"/>
      <c r="G24" s="14" t="n">
        <f aca="false">SUM(G19:G22)</f>
        <v>55000</v>
      </c>
      <c r="H24" s="14"/>
    </row>
    <row r="25" customFormat="false" ht="24" hidden="false" customHeight="true" outlineLevel="0" collapsed="false">
      <c r="A25" s="8" t="s">
        <v>39</v>
      </c>
      <c r="B25" s="8"/>
      <c r="C25" s="8"/>
      <c r="D25" s="8"/>
      <c r="E25" s="8"/>
      <c r="F25" s="8"/>
      <c r="G25" s="12" t="n">
        <f aca="false">ROUND(G24-G24/1.1,0)</f>
        <v>5000</v>
      </c>
      <c r="H25" s="12"/>
    </row>
    <row r="26" customFormat="false" ht="33" hidden="false" customHeight="true" outlineLevel="0" collapsed="false">
      <c r="A26" s="1" t="s">
        <v>40</v>
      </c>
      <c r="B26" s="1"/>
      <c r="C26" s="1"/>
      <c r="D26" s="1"/>
      <c r="E26" s="1"/>
      <c r="F26" s="1"/>
      <c r="G26" s="1"/>
      <c r="H26" s="1"/>
    </row>
    <row r="28" customFormat="false" ht="24.75" hidden="false" customHeight="true" outlineLevel="0" collapsed="false">
      <c r="A28" s="15" t="s">
        <v>41</v>
      </c>
      <c r="B28" s="15"/>
      <c r="C28" s="15"/>
      <c r="D28" s="15"/>
      <c r="E28" s="15"/>
      <c r="F28" s="15"/>
      <c r="G28" s="15"/>
      <c r="H28" s="15"/>
    </row>
    <row r="29" customFormat="false" ht="24.75" hidden="false" customHeight="true" outlineLevel="0" collapsed="false">
      <c r="A29" s="8" t="s">
        <v>42</v>
      </c>
      <c r="B29" s="8"/>
      <c r="C29" s="8"/>
      <c r="D29" s="8"/>
      <c r="E29" s="8"/>
      <c r="F29" s="16" t="n">
        <v>0.2</v>
      </c>
      <c r="G29" s="12" t="n">
        <f aca="false">ROUND($G$24*F29,0)</f>
        <v>11000</v>
      </c>
      <c r="H29" s="12"/>
    </row>
    <row r="30" customFormat="false" ht="24.75" hidden="false" customHeight="true" outlineLevel="0" collapsed="false">
      <c r="A30" s="8" t="s">
        <v>43</v>
      </c>
      <c r="B30" s="8"/>
      <c r="C30" s="8"/>
      <c r="D30" s="8"/>
      <c r="E30" s="8"/>
      <c r="F30" s="16" t="n">
        <v>0.3</v>
      </c>
      <c r="G30" s="12" t="n">
        <f aca="false">ROUND($G$24*F30,0)</f>
        <v>16500</v>
      </c>
      <c r="H30" s="12"/>
    </row>
    <row r="31" customFormat="false" ht="24.75" hidden="false" customHeight="true" outlineLevel="0" collapsed="false">
      <c r="A31" s="8" t="s">
        <v>44</v>
      </c>
      <c r="B31" s="8"/>
      <c r="C31" s="8"/>
      <c r="D31" s="8"/>
      <c r="E31" s="8"/>
      <c r="F31" s="16" t="n">
        <v>0.4</v>
      </c>
      <c r="G31" s="12" t="n">
        <f aca="false">ROUND($G$24*F31,0)</f>
        <v>22000</v>
      </c>
      <c r="H31" s="12"/>
    </row>
    <row r="32" customFormat="false" ht="24.75" hidden="false" customHeight="true" outlineLevel="0" collapsed="false">
      <c r="A32" s="8" t="s">
        <v>45</v>
      </c>
      <c r="B32" s="8"/>
      <c r="C32" s="8"/>
      <c r="D32" s="8"/>
      <c r="E32" s="8"/>
      <c r="F32" s="17" t="n">
        <f aca="false">1-SUM(F29:F31)</f>
        <v>0.1</v>
      </c>
      <c r="G32" s="12" t="n">
        <f aca="false">$G$24-SUM(G29:G31)</f>
        <v>5500</v>
      </c>
      <c r="H32" s="12"/>
    </row>
    <row r="33" customFormat="false" ht="15" hidden="false" customHeight="true" outlineLevel="0" collapsed="false">
      <c r="A33" s="18" t="s">
        <v>46</v>
      </c>
      <c r="B33" s="18"/>
      <c r="C33" s="18"/>
      <c r="D33" s="18"/>
      <c r="E33" s="18"/>
      <c r="F33" s="19" t="n">
        <f aca="false">SUM(F29:F32)</f>
        <v>1</v>
      </c>
      <c r="G33" s="20" t="n">
        <f aca="false">SUM(G29:G32)</f>
        <v>55000</v>
      </c>
      <c r="H33" s="20"/>
    </row>
    <row r="34" customFormat="false" ht="36" hidden="false" customHeight="true" outlineLevel="0" collapsed="false">
      <c r="A34" s="1" t="s">
        <v>47</v>
      </c>
      <c r="B34" s="1"/>
      <c r="C34" s="1"/>
      <c r="D34" s="1"/>
      <c r="E34" s="1"/>
      <c r="F34" s="1"/>
      <c r="G34" s="1"/>
      <c r="H34" s="1"/>
    </row>
    <row r="35" customFormat="false" ht="21.75" hidden="false" customHeight="true" outlineLevel="0" collapsed="false">
      <c r="A35" s="1" t="str">
        <f aca="false">IF(F32&lt;0,"工程配分エラー：構成・デザイン・実装の合計を100％以下にしてください","工程配分確認：合計100％。確認・公開の配分と金額は残りを自動計算します。")</f>
        <v>工程配分確認：合計100％。確認・公開の配分と金額は残りを自動計算します。</v>
      </c>
      <c r="B35" s="1"/>
      <c r="C35" s="1"/>
      <c r="D35" s="1"/>
      <c r="E35" s="1"/>
      <c r="F35" s="1"/>
      <c r="G35" s="1"/>
      <c r="H35" s="1"/>
    </row>
    <row r="36" customFormat="false" ht="30" hidden="false" customHeight="true" outlineLevel="0" collapsed="false">
      <c r="A36" s="6" t="s">
        <v>48</v>
      </c>
      <c r="B36" s="6"/>
      <c r="C36" s="8" t="s">
        <v>49</v>
      </c>
      <c r="D36" s="8"/>
      <c r="E36" s="8"/>
      <c r="F36" s="8"/>
      <c r="G36" s="12" t="n">
        <f aca="false">ROUND(G24/2,0)</f>
        <v>27500</v>
      </c>
      <c r="H36" s="12"/>
    </row>
    <row r="37" customFormat="false" ht="30" hidden="false" customHeight="true" outlineLevel="0" collapsed="false">
      <c r="A37" s="6" t="s">
        <v>50</v>
      </c>
      <c r="B37" s="6"/>
      <c r="C37" s="8" t="s">
        <v>51</v>
      </c>
      <c r="D37" s="8"/>
      <c r="E37" s="8"/>
      <c r="F37" s="8"/>
      <c r="G37" s="12" t="n">
        <f aca="false">G24-G36</f>
        <v>27500</v>
      </c>
      <c r="H37" s="12"/>
    </row>
    <row r="39" customFormat="false" ht="42" hidden="false" customHeight="true" outlineLevel="0" collapsed="false">
      <c r="A39" s="4" t="s">
        <v>52</v>
      </c>
      <c r="B39" s="4"/>
      <c r="C39" s="5" t="s">
        <v>53</v>
      </c>
      <c r="D39" s="5"/>
      <c r="E39" s="5"/>
      <c r="F39" s="5"/>
      <c r="G39" s="5"/>
      <c r="H39" s="5"/>
    </row>
    <row r="41" customFormat="false" ht="36" hidden="false" customHeight="true" outlineLevel="0" collapsed="false">
      <c r="A41" s="21" t="s">
        <v>54</v>
      </c>
      <c r="B41" s="21"/>
      <c r="C41" s="21"/>
      <c r="D41" s="21"/>
      <c r="E41" s="21"/>
      <c r="F41" s="21"/>
      <c r="G41" s="21"/>
      <c r="H41" s="21"/>
    </row>
    <row r="43" customFormat="false" ht="48" hidden="false" customHeight="true" outlineLevel="0" collapsed="false">
      <c r="A43" s="4" t="s">
        <v>55</v>
      </c>
      <c r="B43" s="4"/>
      <c r="C43" s="5" t="s">
        <v>56</v>
      </c>
      <c r="D43" s="5"/>
      <c r="E43" s="5"/>
      <c r="F43" s="5"/>
      <c r="G43" s="5"/>
      <c r="H43" s="5"/>
    </row>
    <row r="44" customFormat="false" ht="46.5" hidden="false" customHeight="true" outlineLevel="0" collapsed="false">
      <c r="A44" s="4" t="s">
        <v>57</v>
      </c>
      <c r="B44" s="4"/>
      <c r="C44" s="1" t="s">
        <v>58</v>
      </c>
      <c r="D44" s="1"/>
      <c r="E44" s="1"/>
      <c r="F44" s="1"/>
      <c r="G44" s="1"/>
      <c r="H44" s="1"/>
    </row>
    <row r="45" customFormat="false" ht="46.5" hidden="false" customHeight="true" outlineLevel="0" collapsed="false">
      <c r="A45" s="4" t="s">
        <v>59</v>
      </c>
      <c r="B45" s="4"/>
      <c r="C45" s="5" t="s">
        <v>60</v>
      </c>
      <c r="D45" s="5"/>
      <c r="E45" s="5"/>
      <c r="F45" s="5"/>
      <c r="G45" s="5"/>
      <c r="H45" s="5"/>
    </row>
    <row r="46" customFormat="false" ht="42.75" hidden="false" customHeight="true" outlineLevel="0" collapsed="false">
      <c r="A46" s="4" t="s">
        <v>61</v>
      </c>
      <c r="B46" s="4"/>
      <c r="C46" s="5" t="s">
        <v>62</v>
      </c>
      <c r="D46" s="5"/>
      <c r="E46" s="5"/>
      <c r="F46" s="5"/>
      <c r="G46" s="5"/>
      <c r="H46" s="5"/>
    </row>
    <row r="47" customFormat="false" ht="46.5" hidden="false" customHeight="true" outlineLevel="0" collapsed="false">
      <c r="A47" s="4" t="s">
        <v>63</v>
      </c>
      <c r="B47" s="4"/>
      <c r="C47" s="1" t="s">
        <v>64</v>
      </c>
      <c r="D47" s="1"/>
      <c r="E47" s="1"/>
      <c r="F47" s="1"/>
      <c r="G47" s="1"/>
      <c r="H47" s="1"/>
    </row>
    <row r="49" customFormat="false" ht="45.75" hidden="false" customHeight="true" outlineLevel="0" collapsed="false">
      <c r="A49" s="4" t="s">
        <v>65</v>
      </c>
      <c r="B49" s="4"/>
      <c r="C49" s="5" t="s">
        <v>66</v>
      </c>
      <c r="D49" s="5"/>
      <c r="E49" s="5"/>
      <c r="F49" s="5"/>
      <c r="G49" s="5"/>
      <c r="H49" s="5"/>
    </row>
    <row r="50" customFormat="false" ht="39.75" hidden="false" customHeight="true" outlineLevel="0" collapsed="false">
      <c r="A50" s="4" t="s">
        <v>67</v>
      </c>
      <c r="B50" s="4"/>
      <c r="C50" s="5" t="s">
        <v>68</v>
      </c>
      <c r="D50" s="5"/>
      <c r="E50" s="5"/>
      <c r="F50" s="5"/>
      <c r="G50" s="5"/>
      <c r="H50" s="5"/>
    </row>
    <row r="52" customFormat="false" ht="30" hidden="false" customHeight="true" outlineLevel="0" collapsed="false">
      <c r="A52" s="4" t="s">
        <v>69</v>
      </c>
      <c r="B52" s="4"/>
      <c r="C52" s="1" t="s">
        <v>70</v>
      </c>
      <c r="D52" s="1"/>
      <c r="E52" s="1"/>
      <c r="F52" s="1"/>
      <c r="G52" s="1"/>
      <c r="H52" s="1"/>
    </row>
    <row r="53" customFormat="false" ht="39.75" hidden="false" customHeight="true" outlineLevel="0" collapsed="false">
      <c r="A53" s="4" t="s">
        <v>71</v>
      </c>
      <c r="B53" s="4"/>
      <c r="C53" s="1" t="s">
        <v>72</v>
      </c>
      <c r="D53" s="1"/>
      <c r="E53" s="1"/>
      <c r="F53" s="1"/>
      <c r="G53" s="1"/>
      <c r="H53" s="1"/>
    </row>
    <row r="54" customFormat="false" ht="48" hidden="false" customHeight="true" outlineLevel="0" collapsed="false">
      <c r="A54" s="4" t="s">
        <v>73</v>
      </c>
      <c r="B54" s="4"/>
      <c r="C54" s="1" t="s">
        <v>74</v>
      </c>
      <c r="D54" s="1"/>
      <c r="E54" s="1"/>
      <c r="F54" s="1"/>
      <c r="G54" s="1"/>
      <c r="H54" s="1"/>
    </row>
    <row r="55" customFormat="false" ht="46.5" hidden="false" customHeight="true" outlineLevel="0" collapsed="false">
      <c r="A55" s="4" t="s">
        <v>75</v>
      </c>
      <c r="B55" s="4"/>
      <c r="C55" s="1" t="s">
        <v>76</v>
      </c>
      <c r="D55" s="1"/>
      <c r="E55" s="1"/>
      <c r="F55" s="1"/>
      <c r="G55" s="1"/>
      <c r="H55" s="1"/>
    </row>
    <row r="57" customFormat="false" ht="42" hidden="false" customHeight="true" outlineLevel="0" collapsed="false">
      <c r="A57" s="4" t="s">
        <v>77</v>
      </c>
      <c r="B57" s="4"/>
      <c r="C57" s="1" t="s">
        <v>78</v>
      </c>
      <c r="D57" s="1"/>
      <c r="E57" s="1"/>
      <c r="F57" s="1"/>
      <c r="G57" s="1"/>
      <c r="H57" s="1"/>
    </row>
    <row r="58" customFormat="false" ht="43.5" hidden="false" customHeight="true" outlineLevel="0" collapsed="false">
      <c r="A58" s="4" t="s">
        <v>79</v>
      </c>
      <c r="B58" s="4"/>
      <c r="C58" s="5" t="s">
        <v>80</v>
      </c>
      <c r="D58" s="5"/>
      <c r="E58" s="5"/>
      <c r="F58" s="5"/>
      <c r="G58" s="5"/>
      <c r="H58" s="5"/>
    </row>
    <row r="60" customFormat="false" ht="43.5" hidden="false" customHeight="true" outlineLevel="0" collapsed="false">
      <c r="A60" s="3" t="s">
        <v>81</v>
      </c>
      <c r="B60" s="3"/>
      <c r="C60" s="3"/>
      <c r="D60" s="3"/>
      <c r="E60" s="3"/>
      <c r="F60" s="3"/>
      <c r="G60" s="3"/>
      <c r="H60" s="3"/>
    </row>
    <row r="62" customFormat="false" ht="24" hidden="false" customHeight="true" outlineLevel="0" collapsed="false">
      <c r="A62" s="1" t="s">
        <v>82</v>
      </c>
      <c r="B62" s="1"/>
      <c r="C62" s="1"/>
      <c r="D62" s="1"/>
      <c r="E62" s="1"/>
      <c r="F62" s="1"/>
      <c r="G62" s="1"/>
      <c r="H62" s="1"/>
    </row>
  </sheetData>
  <mergeCells count="90">
    <mergeCell ref="A1:H1"/>
    <mergeCell ref="A2:H2"/>
    <mergeCell ref="A3:H3"/>
    <mergeCell ref="A5:B5"/>
    <mergeCell ref="C5:H5"/>
    <mergeCell ref="A6:B6"/>
    <mergeCell ref="C6:H6"/>
    <mergeCell ref="A7:B7"/>
    <mergeCell ref="C7:H7"/>
    <mergeCell ref="A8:B8"/>
    <mergeCell ref="C8:H8"/>
    <mergeCell ref="A9:B9"/>
    <mergeCell ref="C9:H9"/>
    <mergeCell ref="A10:B10"/>
    <mergeCell ref="C10:H10"/>
    <mergeCell ref="A11:B11"/>
    <mergeCell ref="C11:H11"/>
    <mergeCell ref="A13:B13"/>
    <mergeCell ref="C13:H13"/>
    <mergeCell ref="A14:B14"/>
    <mergeCell ref="C14:H14"/>
    <mergeCell ref="A15:B15"/>
    <mergeCell ref="C15:H15"/>
    <mergeCell ref="A16:B16"/>
    <mergeCell ref="C16:H16"/>
    <mergeCell ref="B18:C18"/>
    <mergeCell ref="G18:H18"/>
    <mergeCell ref="B19:C19"/>
    <mergeCell ref="G19:H19"/>
    <mergeCell ref="B20:C20"/>
    <mergeCell ref="G20:H20"/>
    <mergeCell ref="B21:C21"/>
    <mergeCell ref="G21:H21"/>
    <mergeCell ref="B22:C22"/>
    <mergeCell ref="G22:H22"/>
    <mergeCell ref="A24:F24"/>
    <mergeCell ref="G24:H24"/>
    <mergeCell ref="A25:F25"/>
    <mergeCell ref="G25:H25"/>
    <mergeCell ref="A26:H26"/>
    <mergeCell ref="A28:H28"/>
    <mergeCell ref="A29:E29"/>
    <mergeCell ref="G29:H29"/>
    <mergeCell ref="A30:E30"/>
    <mergeCell ref="G30:H30"/>
    <mergeCell ref="A31:E31"/>
    <mergeCell ref="G31:H31"/>
    <mergeCell ref="A32:E32"/>
    <mergeCell ref="G32:H32"/>
    <mergeCell ref="A33:E33"/>
    <mergeCell ref="G33:H33"/>
    <mergeCell ref="A34:H34"/>
    <mergeCell ref="A35:H35"/>
    <mergeCell ref="A36:B36"/>
    <mergeCell ref="C36:F36"/>
    <mergeCell ref="G36:H36"/>
    <mergeCell ref="A37:B37"/>
    <mergeCell ref="C37:F37"/>
    <mergeCell ref="G37:H37"/>
    <mergeCell ref="A39:B39"/>
    <mergeCell ref="C39:H39"/>
    <mergeCell ref="A41:H41"/>
    <mergeCell ref="A43:B43"/>
    <mergeCell ref="C43:H43"/>
    <mergeCell ref="A44:B44"/>
    <mergeCell ref="C44:H44"/>
    <mergeCell ref="A45:B45"/>
    <mergeCell ref="C45:H45"/>
    <mergeCell ref="A46:B46"/>
    <mergeCell ref="C46:H46"/>
    <mergeCell ref="A47:B47"/>
    <mergeCell ref="C47:H47"/>
    <mergeCell ref="A49:B49"/>
    <mergeCell ref="C49:H49"/>
    <mergeCell ref="A50:B50"/>
    <mergeCell ref="C50:H50"/>
    <mergeCell ref="A52:B52"/>
    <mergeCell ref="C52:H52"/>
    <mergeCell ref="A53:B53"/>
    <mergeCell ref="C53:H53"/>
    <mergeCell ref="A54:B54"/>
    <mergeCell ref="C54:H54"/>
    <mergeCell ref="A55:B55"/>
    <mergeCell ref="C55:H55"/>
    <mergeCell ref="A57:B57"/>
    <mergeCell ref="C57:H57"/>
    <mergeCell ref="A58:B58"/>
    <mergeCell ref="C58:H58"/>
    <mergeCell ref="A60:H60"/>
    <mergeCell ref="A62:H62"/>
  </mergeCells>
  <dataValidations count="2">
    <dataValidation allowBlank="false" error="数量・金額は0以上の整数で記入してください。" errorStyle="stop" errorTitle="0以上の整数" operator="greaterThanOrEqual" showDropDown="false" showErrorMessage="true" showInputMessage="false" sqref="D19:D22 F19:F22" type="whole">
      <formula1>0</formula1>
      <formula2>0</formula2>
    </dataValidation>
    <dataValidation allowBlank="false" error="0〜100％で、3工程の合計を100％以下にしてください。" errorStyle="stop" errorTitle="工程配分を確認" operator="between" showDropDown="false" showErrorMessage="true" showInputMessage="false" sqref="F29:F31" type="custom">
      <formula1>AND(F29&gt;=0,F29&lt;=1,SUM($F$29:$F$31)&lt;=1)</formula1>
      <formula2>0</formula2>
    </dataValidation>
  </dataValidations>
  <printOptions headings="false" gridLines="false" gridLinesSet="true" horizontalCentered="false" verticalCentered="false"/>
  <pageMargins left="0.3" right="0.3" top="0.35" bottom="0.3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&amp;P / &amp;N&amp;R専門サイト工房</oddFooter>
  </headerFooter>
  <rowBreaks count="1" manualBreakCount="1">
    <brk id="34"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5"/>
    <col collapsed="false" customWidth="true" hidden="false" outlineLevel="0" max="3" min="3" style="0" width="19"/>
    <col collapsed="false" customWidth="true" hidden="false" outlineLevel="0" max="6" min="4" style="0" width="14"/>
    <col collapsed="false" customWidth="true" hidden="false" outlineLevel="0" max="8" min="7" style="0" width="18"/>
  </cols>
  <sheetData>
    <row r="1" customFormat="false" ht="21.75" hidden="false" customHeight="true" outlineLevel="0" collapsed="false">
      <c r="A1" s="1" t="s">
        <v>0</v>
      </c>
      <c r="B1" s="1"/>
      <c r="C1" s="1"/>
      <c r="D1" s="1"/>
      <c r="E1" s="1"/>
      <c r="F1" s="1"/>
      <c r="G1" s="1"/>
      <c r="H1" s="1"/>
    </row>
    <row r="2" customFormat="false" ht="39.75" hidden="false" customHeight="true" outlineLevel="0" collapsed="false">
      <c r="A2" s="2" t="s">
        <v>83</v>
      </c>
      <c r="B2" s="2"/>
      <c r="C2" s="2"/>
      <c r="D2" s="2"/>
      <c r="E2" s="2"/>
      <c r="F2" s="2"/>
      <c r="G2" s="2"/>
      <c r="H2" s="2"/>
    </row>
    <row r="3" customFormat="false" ht="27" hidden="false" customHeight="true" outlineLevel="0" collapsed="false">
      <c r="A3" s="3" t="s">
        <v>2</v>
      </c>
      <c r="B3" s="3"/>
      <c r="C3" s="3"/>
      <c r="D3" s="3"/>
      <c r="E3" s="3"/>
      <c r="F3" s="3"/>
      <c r="G3" s="3"/>
      <c r="H3" s="3"/>
    </row>
    <row r="5" customFormat="false" ht="30" hidden="false" customHeight="true" outlineLevel="0" collapsed="false">
      <c r="A5" s="4" t="s">
        <v>3</v>
      </c>
      <c r="B5" s="4"/>
      <c r="C5" s="5" t="s">
        <v>4</v>
      </c>
      <c r="D5" s="5"/>
      <c r="E5" s="5"/>
      <c r="F5" s="5"/>
      <c r="G5" s="5"/>
      <c r="H5" s="5"/>
    </row>
    <row r="6" customFormat="false" ht="30" hidden="false" customHeight="true" outlineLevel="0" collapsed="false">
      <c r="A6" s="4" t="s">
        <v>5</v>
      </c>
      <c r="B6" s="4"/>
      <c r="C6" s="5" t="s">
        <v>6</v>
      </c>
      <c r="D6" s="5"/>
      <c r="E6" s="5"/>
      <c r="F6" s="5"/>
      <c r="G6" s="5"/>
      <c r="H6" s="5"/>
    </row>
    <row r="7" customFormat="false" ht="30" hidden="false" customHeight="true" outlineLevel="0" collapsed="false">
      <c r="A7" s="4" t="s">
        <v>7</v>
      </c>
      <c r="B7" s="4"/>
      <c r="C7" s="5" t="s">
        <v>8</v>
      </c>
      <c r="D7" s="5"/>
      <c r="E7" s="5"/>
      <c r="F7" s="5"/>
      <c r="G7" s="5"/>
      <c r="H7" s="5"/>
    </row>
    <row r="8" customFormat="false" ht="30" hidden="false" customHeight="true" outlineLevel="0" collapsed="false">
      <c r="A8" s="4" t="s">
        <v>9</v>
      </c>
      <c r="B8" s="4"/>
      <c r="C8" s="5" t="s">
        <v>10</v>
      </c>
      <c r="D8" s="5"/>
      <c r="E8" s="5"/>
      <c r="F8" s="5"/>
      <c r="G8" s="5"/>
      <c r="H8" s="5"/>
    </row>
    <row r="9" customFormat="false" ht="30" hidden="false" customHeight="true" outlineLevel="0" collapsed="false">
      <c r="A9" s="4" t="s">
        <v>11</v>
      </c>
      <c r="B9" s="4"/>
      <c r="C9" s="5" t="s">
        <v>12</v>
      </c>
      <c r="D9" s="5"/>
      <c r="E9" s="5"/>
      <c r="F9" s="5"/>
      <c r="G9" s="5"/>
      <c r="H9" s="5"/>
    </row>
    <row r="10" customFormat="false" ht="30" hidden="false" customHeight="true" outlineLevel="0" collapsed="false">
      <c r="A10" s="4" t="s">
        <v>13</v>
      </c>
      <c r="B10" s="4"/>
      <c r="C10" s="5" t="s">
        <v>14</v>
      </c>
      <c r="D10" s="5"/>
      <c r="E10" s="5"/>
      <c r="F10" s="5"/>
      <c r="G10" s="5"/>
      <c r="H10" s="5"/>
    </row>
    <row r="11" customFormat="false" ht="30" hidden="false" customHeight="true" outlineLevel="0" collapsed="false">
      <c r="A11" s="4" t="s">
        <v>15</v>
      </c>
      <c r="B11" s="4"/>
      <c r="C11" s="1" t="s">
        <v>16</v>
      </c>
      <c r="D11" s="1"/>
      <c r="E11" s="1"/>
      <c r="F11" s="1"/>
      <c r="G11" s="1"/>
      <c r="H11" s="1"/>
    </row>
    <row r="13" customFormat="false" ht="37.5" hidden="false" customHeight="true" outlineLevel="0" collapsed="false">
      <c r="A13" s="4" t="s">
        <v>17</v>
      </c>
      <c r="B13" s="4"/>
      <c r="C13" s="1" t="s">
        <v>84</v>
      </c>
      <c r="D13" s="1"/>
      <c r="E13" s="1"/>
      <c r="F13" s="1"/>
      <c r="G13" s="1"/>
      <c r="H13" s="1"/>
    </row>
    <row r="14" customFormat="false" ht="39.75" hidden="false" customHeight="true" outlineLevel="0" collapsed="false">
      <c r="A14" s="4" t="s">
        <v>19</v>
      </c>
      <c r="B14" s="4"/>
      <c r="C14" s="5" t="s">
        <v>20</v>
      </c>
      <c r="D14" s="5"/>
      <c r="E14" s="5"/>
      <c r="F14" s="5"/>
      <c r="G14" s="5"/>
      <c r="H14" s="5"/>
    </row>
    <row r="15" customFormat="false" ht="45" hidden="false" customHeight="true" outlineLevel="0" collapsed="false">
      <c r="A15" s="4" t="s">
        <v>21</v>
      </c>
      <c r="B15" s="4"/>
      <c r="C15" s="1" t="s">
        <v>22</v>
      </c>
      <c r="D15" s="1"/>
      <c r="E15" s="1"/>
      <c r="F15" s="1"/>
      <c r="G15" s="1"/>
      <c r="H15" s="1"/>
    </row>
    <row r="16" customFormat="false" ht="43.5" hidden="false" customHeight="true" outlineLevel="0" collapsed="false">
      <c r="A16" s="4" t="s">
        <v>23</v>
      </c>
      <c r="B16" s="4"/>
      <c r="C16" s="1" t="s">
        <v>24</v>
      </c>
      <c r="D16" s="1"/>
      <c r="E16" s="1"/>
      <c r="F16" s="1"/>
      <c r="G16" s="1"/>
      <c r="H16" s="1"/>
    </row>
    <row r="18" customFormat="false" ht="24.75" hidden="false" customHeight="true" outlineLevel="0" collapsed="false">
      <c r="A18" s="6" t="s">
        <v>25</v>
      </c>
      <c r="B18" s="6" t="s">
        <v>26</v>
      </c>
      <c r="C18" s="6"/>
      <c r="D18" s="6" t="s">
        <v>27</v>
      </c>
      <c r="E18" s="6" t="s">
        <v>28</v>
      </c>
      <c r="F18" s="6" t="s">
        <v>29</v>
      </c>
      <c r="G18" s="6" t="s">
        <v>30</v>
      </c>
      <c r="H18" s="6"/>
    </row>
    <row r="19" customFormat="false" ht="28.5" hidden="false" customHeight="true" outlineLevel="0" collapsed="false">
      <c r="A19" s="7" t="n">
        <v>1</v>
      </c>
      <c r="B19" s="8" t="s">
        <v>85</v>
      </c>
      <c r="C19" s="8"/>
      <c r="D19" s="9" t="n">
        <v>1</v>
      </c>
      <c r="E19" s="10" t="s">
        <v>32</v>
      </c>
      <c r="F19" s="11" t="n">
        <v>110000</v>
      </c>
      <c r="G19" s="12" t="n">
        <f aca="false">D19*F19</f>
        <v>110000</v>
      </c>
      <c r="H19" s="12"/>
    </row>
    <row r="20" customFormat="false" ht="28.5" hidden="false" customHeight="true" outlineLevel="0" collapsed="false">
      <c r="A20" s="7" t="n">
        <v>2</v>
      </c>
      <c r="B20" s="8" t="s">
        <v>33</v>
      </c>
      <c r="C20" s="8"/>
      <c r="D20" s="9" t="n">
        <v>0</v>
      </c>
      <c r="E20" s="10" t="s">
        <v>34</v>
      </c>
      <c r="F20" s="11" t="n">
        <v>16500</v>
      </c>
      <c r="G20" s="12" t="n">
        <f aca="false">D20*F20</f>
        <v>0</v>
      </c>
      <c r="H20" s="12"/>
    </row>
    <row r="21" customFormat="false" ht="28.5" hidden="false" customHeight="true" outlineLevel="0" collapsed="false">
      <c r="A21" s="7" t="n">
        <v>3</v>
      </c>
      <c r="B21" s="8" t="s">
        <v>35</v>
      </c>
      <c r="C21" s="8"/>
      <c r="D21" s="9" t="n">
        <v>0</v>
      </c>
      <c r="E21" s="10" t="s">
        <v>36</v>
      </c>
      <c r="F21" s="11" t="n">
        <v>5500</v>
      </c>
      <c r="G21" s="12" t="n">
        <f aca="false">D21*F21</f>
        <v>0</v>
      </c>
      <c r="H21" s="12"/>
    </row>
    <row r="22" customFormat="false" ht="28.5" hidden="false" customHeight="true" outlineLevel="0" collapsed="false">
      <c r="A22" s="7" t="n">
        <v>4</v>
      </c>
      <c r="B22" s="8" t="s">
        <v>37</v>
      </c>
      <c r="C22" s="8"/>
      <c r="D22" s="9" t="n">
        <v>0</v>
      </c>
      <c r="E22" s="10" t="s">
        <v>32</v>
      </c>
      <c r="F22" s="11" t="n">
        <v>0</v>
      </c>
      <c r="G22" s="12" t="n">
        <f aca="false">D22*F22</f>
        <v>0</v>
      </c>
      <c r="H22" s="12"/>
    </row>
    <row r="24" customFormat="false" ht="36.75" hidden="false" customHeight="true" outlineLevel="0" collapsed="false">
      <c r="A24" s="13" t="s">
        <v>38</v>
      </c>
      <c r="B24" s="13"/>
      <c r="C24" s="13"/>
      <c r="D24" s="13"/>
      <c r="E24" s="13"/>
      <c r="F24" s="13"/>
      <c r="G24" s="14" t="n">
        <f aca="false">SUM(G19:G22)</f>
        <v>110000</v>
      </c>
      <c r="H24" s="14"/>
    </row>
    <row r="25" customFormat="false" ht="24" hidden="false" customHeight="true" outlineLevel="0" collapsed="false">
      <c r="A25" s="8" t="s">
        <v>39</v>
      </c>
      <c r="B25" s="8"/>
      <c r="C25" s="8"/>
      <c r="D25" s="8"/>
      <c r="E25" s="8"/>
      <c r="F25" s="8"/>
      <c r="G25" s="12" t="n">
        <f aca="false">ROUND(G24-G24/1.1,0)</f>
        <v>10000</v>
      </c>
      <c r="H25" s="12"/>
    </row>
    <row r="26" customFormat="false" ht="33" hidden="false" customHeight="true" outlineLevel="0" collapsed="false">
      <c r="A26" s="1" t="s">
        <v>40</v>
      </c>
      <c r="B26" s="1"/>
      <c r="C26" s="1"/>
      <c r="D26" s="1"/>
      <c r="E26" s="1"/>
      <c r="F26" s="1"/>
      <c r="G26" s="1"/>
      <c r="H26" s="1"/>
    </row>
    <row r="28" customFormat="false" ht="24.75" hidden="false" customHeight="true" outlineLevel="0" collapsed="false">
      <c r="A28" s="15" t="s">
        <v>41</v>
      </c>
      <c r="B28" s="15"/>
      <c r="C28" s="15"/>
      <c r="D28" s="15"/>
      <c r="E28" s="15"/>
      <c r="F28" s="15"/>
      <c r="G28" s="15"/>
      <c r="H28" s="15"/>
    </row>
    <row r="29" customFormat="false" ht="24.75" hidden="false" customHeight="true" outlineLevel="0" collapsed="false">
      <c r="A29" s="8" t="s">
        <v>42</v>
      </c>
      <c r="B29" s="8"/>
      <c r="C29" s="8"/>
      <c r="D29" s="8"/>
      <c r="E29" s="8"/>
      <c r="F29" s="16" t="n">
        <v>0.2</v>
      </c>
      <c r="G29" s="12" t="n">
        <f aca="false">ROUND($G$24*F29,0)</f>
        <v>22000</v>
      </c>
      <c r="H29" s="12"/>
    </row>
    <row r="30" customFormat="false" ht="24.75" hidden="false" customHeight="true" outlineLevel="0" collapsed="false">
      <c r="A30" s="8" t="s">
        <v>43</v>
      </c>
      <c r="B30" s="8"/>
      <c r="C30" s="8"/>
      <c r="D30" s="8"/>
      <c r="E30" s="8"/>
      <c r="F30" s="16" t="n">
        <v>0.3</v>
      </c>
      <c r="G30" s="12" t="n">
        <f aca="false">ROUND($G$24*F30,0)</f>
        <v>33000</v>
      </c>
      <c r="H30" s="12"/>
    </row>
    <row r="31" customFormat="false" ht="24.75" hidden="false" customHeight="true" outlineLevel="0" collapsed="false">
      <c r="A31" s="8" t="s">
        <v>44</v>
      </c>
      <c r="B31" s="8"/>
      <c r="C31" s="8"/>
      <c r="D31" s="8"/>
      <c r="E31" s="8"/>
      <c r="F31" s="16" t="n">
        <v>0.4</v>
      </c>
      <c r="G31" s="12" t="n">
        <f aca="false">ROUND($G$24*F31,0)</f>
        <v>44000</v>
      </c>
      <c r="H31" s="12"/>
    </row>
    <row r="32" customFormat="false" ht="24.75" hidden="false" customHeight="true" outlineLevel="0" collapsed="false">
      <c r="A32" s="8" t="s">
        <v>45</v>
      </c>
      <c r="B32" s="8"/>
      <c r="C32" s="8"/>
      <c r="D32" s="8"/>
      <c r="E32" s="8"/>
      <c r="F32" s="17" t="n">
        <f aca="false">1-SUM(F29:F31)</f>
        <v>0.1</v>
      </c>
      <c r="G32" s="12" t="n">
        <f aca="false">$G$24-SUM(G29:G31)</f>
        <v>11000</v>
      </c>
      <c r="H32" s="12"/>
    </row>
    <row r="33" customFormat="false" ht="15" hidden="false" customHeight="true" outlineLevel="0" collapsed="false">
      <c r="A33" s="18" t="s">
        <v>46</v>
      </c>
      <c r="B33" s="18"/>
      <c r="C33" s="18"/>
      <c r="D33" s="18"/>
      <c r="E33" s="18"/>
      <c r="F33" s="19" t="n">
        <f aca="false">SUM(F29:F32)</f>
        <v>1</v>
      </c>
      <c r="G33" s="20" t="n">
        <f aca="false">SUM(G29:G32)</f>
        <v>110000</v>
      </c>
      <c r="H33" s="20"/>
    </row>
    <row r="34" customFormat="false" ht="36" hidden="false" customHeight="true" outlineLevel="0" collapsed="false">
      <c r="A34" s="1" t="s">
        <v>47</v>
      </c>
      <c r="B34" s="1"/>
      <c r="C34" s="1"/>
      <c r="D34" s="1"/>
      <c r="E34" s="1"/>
      <c r="F34" s="1"/>
      <c r="G34" s="1"/>
      <c r="H34" s="1"/>
    </row>
    <row r="35" customFormat="false" ht="21.75" hidden="false" customHeight="true" outlineLevel="0" collapsed="false">
      <c r="A35" s="1" t="str">
        <f aca="false">IF(F32&lt;0,"工程配分エラー：構成・デザイン・実装の合計を100％以下にしてください","工程配分確認：合計100％。確認・公開の配分と金額は残りを自動計算します。")</f>
        <v>工程配分確認：合計100％。確認・公開の配分と金額は残りを自動計算します。</v>
      </c>
      <c r="B35" s="1"/>
      <c r="C35" s="1"/>
      <c r="D35" s="1"/>
      <c r="E35" s="1"/>
      <c r="F35" s="1"/>
      <c r="G35" s="1"/>
      <c r="H35" s="1"/>
    </row>
    <row r="36" customFormat="false" ht="30" hidden="false" customHeight="true" outlineLevel="0" collapsed="false">
      <c r="A36" s="6" t="s">
        <v>48</v>
      </c>
      <c r="B36" s="6"/>
      <c r="C36" s="8" t="s">
        <v>49</v>
      </c>
      <c r="D36" s="8"/>
      <c r="E36" s="8"/>
      <c r="F36" s="8"/>
      <c r="G36" s="12" t="n">
        <f aca="false">ROUND(G24/2,0)</f>
        <v>55000</v>
      </c>
      <c r="H36" s="12"/>
    </row>
    <row r="37" customFormat="false" ht="30" hidden="false" customHeight="true" outlineLevel="0" collapsed="false">
      <c r="A37" s="6" t="s">
        <v>50</v>
      </c>
      <c r="B37" s="6"/>
      <c r="C37" s="8" t="s">
        <v>51</v>
      </c>
      <c r="D37" s="8"/>
      <c r="E37" s="8"/>
      <c r="F37" s="8"/>
      <c r="G37" s="12" t="n">
        <f aca="false">G24-G36</f>
        <v>55000</v>
      </c>
      <c r="H37" s="12"/>
    </row>
    <row r="39" customFormat="false" ht="42" hidden="false" customHeight="true" outlineLevel="0" collapsed="false">
      <c r="A39" s="4" t="s">
        <v>52</v>
      </c>
      <c r="B39" s="4"/>
      <c r="C39" s="5" t="s">
        <v>53</v>
      </c>
      <c r="D39" s="5"/>
      <c r="E39" s="5"/>
      <c r="F39" s="5"/>
      <c r="G39" s="5"/>
      <c r="H39" s="5"/>
    </row>
    <row r="41" customFormat="false" ht="36" hidden="false" customHeight="true" outlineLevel="0" collapsed="false">
      <c r="A41" s="21" t="s">
        <v>54</v>
      </c>
      <c r="B41" s="21"/>
      <c r="C41" s="21"/>
      <c r="D41" s="21"/>
      <c r="E41" s="21"/>
      <c r="F41" s="21"/>
      <c r="G41" s="21"/>
      <c r="H41" s="21"/>
    </row>
    <row r="43" customFormat="false" ht="48" hidden="false" customHeight="true" outlineLevel="0" collapsed="false">
      <c r="A43" s="4" t="s">
        <v>55</v>
      </c>
      <c r="B43" s="4"/>
      <c r="C43" s="5" t="s">
        <v>56</v>
      </c>
      <c r="D43" s="5"/>
      <c r="E43" s="5"/>
      <c r="F43" s="5"/>
      <c r="G43" s="5"/>
      <c r="H43" s="5"/>
    </row>
    <row r="44" customFormat="false" ht="46.5" hidden="false" customHeight="true" outlineLevel="0" collapsed="false">
      <c r="A44" s="4" t="s">
        <v>57</v>
      </c>
      <c r="B44" s="4"/>
      <c r="C44" s="1" t="s">
        <v>58</v>
      </c>
      <c r="D44" s="1"/>
      <c r="E44" s="1"/>
      <c r="F44" s="1"/>
      <c r="G44" s="1"/>
      <c r="H44" s="1"/>
    </row>
    <row r="45" customFormat="false" ht="46.5" hidden="false" customHeight="true" outlineLevel="0" collapsed="false">
      <c r="A45" s="4" t="s">
        <v>59</v>
      </c>
      <c r="B45" s="4"/>
      <c r="C45" s="5" t="s">
        <v>60</v>
      </c>
      <c r="D45" s="5"/>
      <c r="E45" s="5"/>
      <c r="F45" s="5"/>
      <c r="G45" s="5"/>
      <c r="H45" s="5"/>
    </row>
    <row r="46" customFormat="false" ht="42.75" hidden="false" customHeight="true" outlineLevel="0" collapsed="false">
      <c r="A46" s="4" t="s">
        <v>61</v>
      </c>
      <c r="B46" s="4"/>
      <c r="C46" s="5" t="s">
        <v>62</v>
      </c>
      <c r="D46" s="5"/>
      <c r="E46" s="5"/>
      <c r="F46" s="5"/>
      <c r="G46" s="5"/>
      <c r="H46" s="5"/>
    </row>
    <row r="47" customFormat="false" ht="46.5" hidden="false" customHeight="true" outlineLevel="0" collapsed="false">
      <c r="A47" s="4" t="s">
        <v>63</v>
      </c>
      <c r="B47" s="4"/>
      <c r="C47" s="1" t="s">
        <v>64</v>
      </c>
      <c r="D47" s="1"/>
      <c r="E47" s="1"/>
      <c r="F47" s="1"/>
      <c r="G47" s="1"/>
      <c r="H47" s="1"/>
    </row>
    <row r="49" customFormat="false" ht="45.75" hidden="false" customHeight="true" outlineLevel="0" collapsed="false">
      <c r="A49" s="4" t="s">
        <v>65</v>
      </c>
      <c r="B49" s="4"/>
      <c r="C49" s="5" t="s">
        <v>66</v>
      </c>
      <c r="D49" s="5"/>
      <c r="E49" s="5"/>
      <c r="F49" s="5"/>
      <c r="G49" s="5"/>
      <c r="H49" s="5"/>
    </row>
    <row r="50" customFormat="false" ht="39.75" hidden="false" customHeight="true" outlineLevel="0" collapsed="false">
      <c r="A50" s="4" t="s">
        <v>67</v>
      </c>
      <c r="B50" s="4"/>
      <c r="C50" s="5" t="s">
        <v>68</v>
      </c>
      <c r="D50" s="5"/>
      <c r="E50" s="5"/>
      <c r="F50" s="5"/>
      <c r="G50" s="5"/>
      <c r="H50" s="5"/>
    </row>
    <row r="52" customFormat="false" ht="30" hidden="false" customHeight="true" outlineLevel="0" collapsed="false">
      <c r="A52" s="4" t="s">
        <v>69</v>
      </c>
      <c r="B52" s="4"/>
      <c r="C52" s="1" t="s">
        <v>70</v>
      </c>
      <c r="D52" s="1"/>
      <c r="E52" s="1"/>
      <c r="F52" s="1"/>
      <c r="G52" s="1"/>
      <c r="H52" s="1"/>
    </row>
    <row r="53" customFormat="false" ht="39.75" hidden="false" customHeight="true" outlineLevel="0" collapsed="false">
      <c r="A53" s="4" t="s">
        <v>71</v>
      </c>
      <c r="B53" s="4"/>
      <c r="C53" s="1" t="s">
        <v>72</v>
      </c>
      <c r="D53" s="1"/>
      <c r="E53" s="1"/>
      <c r="F53" s="1"/>
      <c r="G53" s="1"/>
      <c r="H53" s="1"/>
    </row>
    <row r="54" customFormat="false" ht="48" hidden="false" customHeight="true" outlineLevel="0" collapsed="false">
      <c r="A54" s="4" t="s">
        <v>73</v>
      </c>
      <c r="B54" s="4"/>
      <c r="C54" s="1" t="s">
        <v>74</v>
      </c>
      <c r="D54" s="1"/>
      <c r="E54" s="1"/>
      <c r="F54" s="1"/>
      <c r="G54" s="1"/>
      <c r="H54" s="1"/>
    </row>
    <row r="55" customFormat="false" ht="46.5" hidden="false" customHeight="true" outlineLevel="0" collapsed="false">
      <c r="A55" s="4" t="s">
        <v>75</v>
      </c>
      <c r="B55" s="4"/>
      <c r="C55" s="1" t="s">
        <v>76</v>
      </c>
      <c r="D55" s="1"/>
      <c r="E55" s="1"/>
      <c r="F55" s="1"/>
      <c r="G55" s="1"/>
      <c r="H55" s="1"/>
    </row>
    <row r="57" customFormat="false" ht="42" hidden="false" customHeight="true" outlineLevel="0" collapsed="false">
      <c r="A57" s="4" t="s">
        <v>77</v>
      </c>
      <c r="B57" s="4"/>
      <c r="C57" s="1" t="s">
        <v>78</v>
      </c>
      <c r="D57" s="1"/>
      <c r="E57" s="1"/>
      <c r="F57" s="1"/>
      <c r="G57" s="1"/>
      <c r="H57" s="1"/>
    </row>
    <row r="58" customFormat="false" ht="43.5" hidden="false" customHeight="true" outlineLevel="0" collapsed="false">
      <c r="A58" s="4" t="s">
        <v>79</v>
      </c>
      <c r="B58" s="4"/>
      <c r="C58" s="5" t="s">
        <v>80</v>
      </c>
      <c r="D58" s="5"/>
      <c r="E58" s="5"/>
      <c r="F58" s="5"/>
      <c r="G58" s="5"/>
      <c r="H58" s="5"/>
    </row>
    <row r="60" customFormat="false" ht="43.5" hidden="false" customHeight="true" outlineLevel="0" collapsed="false">
      <c r="A60" s="3" t="s">
        <v>81</v>
      </c>
      <c r="B60" s="3"/>
      <c r="C60" s="3"/>
      <c r="D60" s="3"/>
      <c r="E60" s="3"/>
      <c r="F60" s="3"/>
      <c r="G60" s="3"/>
      <c r="H60" s="3"/>
    </row>
    <row r="62" customFormat="false" ht="24" hidden="false" customHeight="true" outlineLevel="0" collapsed="false">
      <c r="A62" s="1" t="s">
        <v>82</v>
      </c>
      <c r="B62" s="1"/>
      <c r="C62" s="1"/>
      <c r="D62" s="1"/>
      <c r="E62" s="1"/>
      <c r="F62" s="1"/>
      <c r="G62" s="1"/>
      <c r="H62" s="1"/>
    </row>
  </sheetData>
  <mergeCells count="90">
    <mergeCell ref="A1:H1"/>
    <mergeCell ref="A2:H2"/>
    <mergeCell ref="A3:H3"/>
    <mergeCell ref="A5:B5"/>
    <mergeCell ref="C5:H5"/>
    <mergeCell ref="A6:B6"/>
    <mergeCell ref="C6:H6"/>
    <mergeCell ref="A7:B7"/>
    <mergeCell ref="C7:H7"/>
    <mergeCell ref="A8:B8"/>
    <mergeCell ref="C8:H8"/>
    <mergeCell ref="A9:B9"/>
    <mergeCell ref="C9:H9"/>
    <mergeCell ref="A10:B10"/>
    <mergeCell ref="C10:H10"/>
    <mergeCell ref="A11:B11"/>
    <mergeCell ref="C11:H11"/>
    <mergeCell ref="A13:B13"/>
    <mergeCell ref="C13:H13"/>
    <mergeCell ref="A14:B14"/>
    <mergeCell ref="C14:H14"/>
    <mergeCell ref="A15:B15"/>
    <mergeCell ref="C15:H15"/>
    <mergeCell ref="A16:B16"/>
    <mergeCell ref="C16:H16"/>
    <mergeCell ref="B18:C18"/>
    <mergeCell ref="G18:H18"/>
    <mergeCell ref="B19:C19"/>
    <mergeCell ref="G19:H19"/>
    <mergeCell ref="B20:C20"/>
    <mergeCell ref="G20:H20"/>
    <mergeCell ref="B21:C21"/>
    <mergeCell ref="G21:H21"/>
    <mergeCell ref="B22:C22"/>
    <mergeCell ref="G22:H22"/>
    <mergeCell ref="A24:F24"/>
    <mergeCell ref="G24:H24"/>
    <mergeCell ref="A25:F25"/>
    <mergeCell ref="G25:H25"/>
    <mergeCell ref="A26:H26"/>
    <mergeCell ref="A28:H28"/>
    <mergeCell ref="A29:E29"/>
    <mergeCell ref="G29:H29"/>
    <mergeCell ref="A30:E30"/>
    <mergeCell ref="G30:H30"/>
    <mergeCell ref="A31:E31"/>
    <mergeCell ref="G31:H31"/>
    <mergeCell ref="A32:E32"/>
    <mergeCell ref="G32:H32"/>
    <mergeCell ref="A33:E33"/>
    <mergeCell ref="G33:H33"/>
    <mergeCell ref="A34:H34"/>
    <mergeCell ref="A35:H35"/>
    <mergeCell ref="A36:B36"/>
    <mergeCell ref="C36:F36"/>
    <mergeCell ref="G36:H36"/>
    <mergeCell ref="A37:B37"/>
    <mergeCell ref="C37:F37"/>
    <mergeCell ref="G37:H37"/>
    <mergeCell ref="A39:B39"/>
    <mergeCell ref="C39:H39"/>
    <mergeCell ref="A41:H41"/>
    <mergeCell ref="A43:B43"/>
    <mergeCell ref="C43:H43"/>
    <mergeCell ref="A44:B44"/>
    <mergeCell ref="C44:H44"/>
    <mergeCell ref="A45:B45"/>
    <mergeCell ref="C45:H45"/>
    <mergeCell ref="A46:B46"/>
    <mergeCell ref="C46:H46"/>
    <mergeCell ref="A47:B47"/>
    <mergeCell ref="C47:H47"/>
    <mergeCell ref="A49:B49"/>
    <mergeCell ref="C49:H49"/>
    <mergeCell ref="A50:B50"/>
    <mergeCell ref="C50:H50"/>
    <mergeCell ref="A52:B52"/>
    <mergeCell ref="C52:H52"/>
    <mergeCell ref="A53:B53"/>
    <mergeCell ref="C53:H53"/>
    <mergeCell ref="A54:B54"/>
    <mergeCell ref="C54:H54"/>
    <mergeCell ref="A55:B55"/>
    <mergeCell ref="C55:H55"/>
    <mergeCell ref="A57:B57"/>
    <mergeCell ref="C57:H57"/>
    <mergeCell ref="A58:B58"/>
    <mergeCell ref="C58:H58"/>
    <mergeCell ref="A60:H60"/>
    <mergeCell ref="A62:H62"/>
  </mergeCells>
  <dataValidations count="2">
    <dataValidation allowBlank="false" error="数量・金額は0以上の整数で記入してください。" errorStyle="stop" errorTitle="0以上の整数" operator="greaterThanOrEqual" showDropDown="false" showErrorMessage="true" showInputMessage="false" sqref="D19:D22 F19:F22" type="whole">
      <formula1>0</formula1>
      <formula2>0</formula2>
    </dataValidation>
    <dataValidation allowBlank="false" error="0〜100％で、3工程の合計を100％以下にしてください。" errorStyle="stop" errorTitle="工程配分を確認" operator="between" showDropDown="false" showErrorMessage="true" showInputMessage="false" sqref="F29:F31" type="custom">
      <formula1>AND(F29&gt;=0,F29&lt;=1,SUM($F$29:$F$31)&lt;=1)</formula1>
      <formula2>0</formula2>
    </dataValidation>
  </dataValidations>
  <printOptions headings="false" gridLines="false" gridLinesSet="true" horizontalCentered="false" verticalCentered="false"/>
  <pageMargins left="0.3" right="0.3" top="0.35" bottom="0.3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&amp;C&amp;8 &amp;P / &amp;N&amp;R専門サイト工房</oddFooter>
  </headerFooter>
  <rowBreaks count="1" manualBreakCount="1">
    <brk id="34"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2026-10-06T19:17:36Z</dcterms:created>
  <dc:creator>openpyxl</dc:creator>
  <dc:description/>
  <dc:language>en-US</dc:language>
  <cp:lastModifiedBy/>
  <dcterms:modified xsi:type="dcterms:W3CDTF">2026-10-06T19:17:36Z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