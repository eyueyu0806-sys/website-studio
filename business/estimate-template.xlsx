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ページ制作" sheetId="1" state="visible" r:id="rId1"/>
    <sheet xmlns:r="http://schemas.openxmlformats.org/officeDocument/2006/relationships" name="小規模サイト制作" sheetId="2" state="visible" r:id="rId2"/>
  </sheets>
  <definedNames>
    <definedName name="_xlnm.Print_Area" localSheetId="0">'1ページ制作'!$A$1:$H$62</definedName>
    <definedName name="_xlnm.Print_Area" localSheetId="1">'小規模サイト制作'!$A$1:$H$62</definedName>
  </definedNames>
  <calcPr calcId="191029" fullCalcOnLoad="1"/>
</workbook>
</file>

<file path=xl/styles.xml><?xml version="1.0" encoding="utf-8"?>
<styleSheet xmlns="http://schemas.openxmlformats.org/spreadsheetml/2006/main">
  <numFmts count="1">
    <numFmt numFmtId="164" formatCode="#,##0&quot;円&quot;"/>
  </numFmts>
  <fonts count="8">
    <font>
      <name val="Calibri"/>
      <family val="2"/>
      <color theme="1"/>
      <sz val="11"/>
      <scheme val="minor"/>
    </font>
    <font>
      <name val="Noto Sans CJK JP"/>
      <color rgb="00111111"/>
      <sz val="10"/>
    </font>
    <font>
      <name val="Noto Sans CJK JP"/>
      <b val="1"/>
      <color rgb="00111111"/>
      <sz val="23"/>
    </font>
    <font>
      <name val="Noto Sans CJK JP"/>
      <b val="1"/>
      <color rgb="00111111"/>
      <sz val="10"/>
    </font>
    <font>
      <name val="Noto Sans CJK JP"/>
      <color rgb="00526657"/>
      <sz val="10"/>
    </font>
    <font>
      <name val="Noto Sans CJK JP"/>
      <b val="1"/>
      <color rgb="00111111"/>
      <sz val="12"/>
    </font>
    <font>
      <name val="Noto Sans CJK JP"/>
      <b val="1"/>
      <color rgb="00111111"/>
      <sz val="15"/>
    </font>
    <font>
      <name val="Noto Sans CJK JP"/>
      <b val="1"/>
      <color rgb="00111111"/>
      <sz val="17"/>
    </font>
  </fonts>
  <fills count="3">
    <fill>
      <patternFill/>
    </fill>
    <fill>
      <patternFill patternType="gray125"/>
    </fill>
    <fill>
      <patternFill patternType="solid">
        <fgColor rgb="00F4F4F0"/>
      </patternFill>
    </fill>
  </fills>
  <borders count="3">
    <border>
      <left/>
      <right/>
      <top/>
      <bottom/>
      <diagonal/>
    </border>
    <border>
      <bottom style="thin">
        <color rgb="00C7C7BE"/>
      </bottom>
    </border>
    <border>
      <left/>
      <right/>
      <top/>
      <bottom style="thin">
        <color rgb="00C7C7BE"/>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1" fillId="2" borderId="0" applyAlignment="1" pivotButton="0" quotePrefix="0" xfId="0">
      <alignment vertical="center" wrapText="1"/>
    </xf>
    <xf numFmtId="0" fontId="3" fillId="2" borderId="0" applyAlignment="1" pivotButton="0" quotePrefix="0" xfId="0">
      <alignment vertical="center" wrapText="1"/>
    </xf>
    <xf numFmtId="0" fontId="4" fillId="0" borderId="0" applyAlignment="1" pivotButton="0" quotePrefix="0" xfId="0">
      <alignment vertical="center" wrapText="1"/>
    </xf>
    <xf numFmtId="0" fontId="3" fillId="2" borderId="1" applyAlignment="1" pivotButton="0" quotePrefix="0" xfId="0">
      <alignment vertical="center" wrapText="1"/>
    </xf>
    <xf numFmtId="0" fontId="0" fillId="0" borderId="1" applyAlignment="1" pivotButton="0" quotePrefix="0" xfId="0">
      <alignment vertical="center" wrapText="1"/>
    </xf>
    <xf numFmtId="0" fontId="1" fillId="0" borderId="1" applyAlignment="1" pivotButton="0" quotePrefix="0" xfId="0">
      <alignment vertical="center" wrapText="1"/>
    </xf>
    <xf numFmtId="0" fontId="4" fillId="0" borderId="1" applyAlignment="1" pivotButton="0" quotePrefix="0" xfId="0">
      <alignment vertical="center" wrapText="1"/>
    </xf>
    <xf numFmtId="164" fontId="4" fillId="0" borderId="1" applyAlignment="1" pivotButton="0" quotePrefix="0" xfId="0">
      <alignment vertical="center" wrapText="1"/>
    </xf>
    <xf numFmtId="164" fontId="1" fillId="0" borderId="1" applyAlignment="1" pivotButton="0" quotePrefix="0" xfId="0">
      <alignment vertical="center" wrapText="1"/>
    </xf>
    <xf numFmtId="0" fontId="5" fillId="2" borderId="1" applyAlignment="1" pivotButton="0" quotePrefix="0" xfId="0">
      <alignment vertical="center" wrapText="1"/>
    </xf>
    <xf numFmtId="164" fontId="6" fillId="2" borderId="1" applyAlignment="1" pivotButton="0" quotePrefix="0" xfId="0">
      <alignment vertical="center" wrapText="1"/>
    </xf>
    <xf numFmtId="0" fontId="5" fillId="0" borderId="0" applyAlignment="1" pivotButton="0" quotePrefix="0" xfId="0">
      <alignment vertical="center" wrapText="1"/>
    </xf>
    <xf numFmtId="9" fontId="4" fillId="0" borderId="1" applyAlignment="1" pivotButton="0" quotePrefix="0" xfId="0">
      <alignment vertical="center" wrapText="1"/>
    </xf>
    <xf numFmtId="9" fontId="1" fillId="0" borderId="1" applyAlignment="1" pivotButton="0" quotePrefix="0" xfId="0">
      <alignment vertical="center" wrapText="1"/>
    </xf>
    <xf numFmtId="0" fontId="1" fillId="2" borderId="1" applyAlignment="1" pivotButton="0" quotePrefix="0" xfId="0">
      <alignment vertical="center" wrapText="1"/>
    </xf>
    <xf numFmtId="9" fontId="0" fillId="0" borderId="1" applyAlignment="1" pivotButton="0" quotePrefix="0" xfId="0">
      <alignment vertical="center" wrapText="1"/>
    </xf>
    <xf numFmtId="164" fontId="1" fillId="2" borderId="1" applyAlignment="1" pivotButton="0" quotePrefix="0" xfId="0">
      <alignment vertical="center" wrapText="1"/>
    </xf>
    <xf numFmtId="0" fontId="7" fillId="0" borderId="0" applyAlignment="1" pivotButton="0" quotePrefix="0" xfId="0">
      <alignment vertical="center" wrapText="1"/>
    </xf>
    <xf numFmtId="0" fontId="0"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ns0:worksheet xmlns:ns0="http://schemas.openxmlformats.org/spreadsheetml/2006/main">
  <ns0:sheetPr>
    <ns0:outlinePr summaryBelow="1" summaryRight="1"/>
    <ns0:pageSetUpPr fitToPage="1"/>
  </ns0:sheetPr>
  <ns0:dimension ref="A1:H62"/>
  <ns0:sheetViews>
    <ns0:sheetView showGridLines="0" workbookViewId="0">
      <ns0:pane ySplit="4" topLeftCell="A5" activePane="bottomLeft" state="frozen"/>
      <ns0:selection pane="bottomLeft" activeCell="A1" sqref="A1"/>
    </ns0:sheetView>
  </ns0:sheetViews>
  <ns0:sheetFormatPr baseColWidth="8" defaultRowHeight="15"/>
  <ns0:cols>
    <ns0:col width="5" customWidth="1" min="1" max="1"/>
    <ns0:col width="25" customWidth="1" min="2" max="2"/>
    <ns0:col width="19" customWidth="1" min="3" max="3"/>
    <ns0:col width="14" customWidth="1" min="4" max="4"/>
    <ns0:col width="14" customWidth="1" min="5" max="5"/>
    <ns0:col width="14" customWidth="1" min="6" max="6"/>
    <ns0:col width="18" customWidth="1" min="7" max="7"/>
    <ns0:col width="18" customWidth="1" min="8" max="8"/>
  </ns0:cols>
  <ns0:sheetData>
    <ns0:row r="1" ht="22" customHeight="1">
      <ns0:c r="A1" s="1" t="inlineStr">
        <ns0:is>
          <ns0:t>専門サイト工房 / pageatelier.jp</ns0:t>
        </ns0:is>
      </ns0:c>
    </ns0:row>
    <ns0:row r="2" ht="40" customHeight="1">
      <ns0:c r="A2" s="2" t="inlineStr">
        <ns0:is>
          <ns0:t>見積書｜1ページ制作</ns0:t>
        </ns0:is>
      </ns0:c>
    </ns0:row>
    <ns0:row r="3" ht="27" customHeight="1">
      <ns0:c r="A3" s="3" t="inlineStr">
        <ns0:is>
          <ns0:t>記入用ひな形：［ ］欄と案件条件を確定してから送付。緑文字の入力欄を編集してください。</ns0:t>
        </ns0:is>
      </ns0:c>
    </ns0:row>
    <ns0:row r="5" ht="30" customHeight="1">
      <ns0:c r="A5" s="4" t="inlineStr">
        <ns0:is>
          <ns0:t>見積番号・版</ns0:t>
        </ns0:is>
      </ns0:c>
      <ns0:c r="C5" s="5" t="inlineStr">
        <ns0:is>
          <ns0:t>［PA-2026-001 / 第1版］</ns0:t>
        </ns0:is>
      </ns0:c>
    </ns0:row>
    <ns0:row r="6" ht="30" customHeight="1">
      <ns0:c r="A6" s="4" t="inlineStr">
        <ns0:is>
          <ns0:t>発行日・有効期限</ns0:t>
        </ns0:is>
      </ns0:c>
      <ns0:c r="C6" s="5" t="inlineStr">
        <ns0:is>
          <ns0:t>［発行年月日］／［有効期限：発行日から14日等、具体的な年月日］</ns0:t>
        </ns0:is>
      </ns0:c>
    </ns0:row>
    <ns0:row r="7" ht="30" customHeight="1">
      <ns0:c r="A7" s="4" t="inlineStr">
        <ns0:is>
          <ns0:t>宛先</ns0:t>
        </ns0:is>
      </ns0:c>
      <ns0:c r="C7" s="5" t="inlineStr">
        <ns0:is>
          <ns0:t>［正式法人名・代表者／個人事業主の正式氏名］</ns0:t>
        </ns0:is>
      </ns0:c>
    </ns0:row>
    <ns0:row r="8" ht="30" customHeight="1">
      <ns0:c r="A8" s="4" t="inlineStr">
        <ns0:is>
          <ns0:t>案件名・対象サイト</ns0:t>
        </ns0:is>
      </ns0:c>
      <ns0:c r="C8" s="5" t="inlineStr">
        <ns0:is>
          <ns0:t>［案件名・URLまたは公開予定ドメイン］</ns0:t>
        </ns0:is>
      </ns0:c>
    </ns0:row>
    <ns0:row r="9" ht="30" customHeight="1">
      <ns0:c r="A9" s="4" t="inlineStr">
        <ns0:is>
          <ns0:t>発行者（正式氏名）</ns0:t>
        </ns0:is>
      </ns0:c>
      <ns0:c r="C9" s="5" t="inlineStr">
        <ns0:is>
          <ns0:t>［運営者の正式氏名］（個人事業・サービス名：専門サイト工房）</ns0:t>
        </ns0:is>
      </ns0:c>
    </ns0:row>
    <ns0:row r="10" ht="30" customHeight="1">
      <ns0:c r="A10" s="4" t="inlineStr">
        <ns0:is>
          <ns0:t>発行者住所・電話</ns0:t>
        </ns0:is>
      </ns0:c>
      <ns0:c r="C10" s="5" t="inlineStr">
        <ns0:is>
          <ns0:t>［郵便番号・正確な住所］／［連絡可能な電話番号］</ns0:t>
        </ns0:is>
      </ns0:c>
    </ns0:row>
    <ns0:row r="11" ht="30" customHeight="1">
      <ns0:c r="A11" s="4" t="inlineStr">
        <ns0:is>
          <ns0:t>発行者メール</ns0:t>
        </ns0:is>
      </ns0:c>
      <ns0:c r="C11" s="1" t="inlineStr">
        <ns0:is>
          <ns0:t>eyu.eyu0806@gmail.com</ns0:t>
        </ns0:is>
      </ns0:c>
    </ns0:row>
    <ns0:row r="13" ht="38" customHeight="1">
      <ns0:c r="A13" s="4" t="inlineStr">
        <ns0:is>
          <ns0:t>基本範囲</ns0:t>
        </ns0:is>
      </ns0:c>
      <ns0:c r="C13" s="1" t="inlineStr">
        <ns0:is>
          <ns0:t>1ページ・8セクションまで。原稿支給のプライバシーポリシー1ページはページ数外で掲載。</ns0:t>
        </ns0:is>
      </ns0:c>
    </ns0:row>
    <ns0:row r="14" ht="40" customHeight="1">
      <ns0:c r="A14" s="4" t="inlineStr">
        <ns0:is>
          <ns0:t>ページ・掲載内容</ns0:t>
        </ns0:is>
      </ns0:c>
      <ns0:c r="C14" s="5" t="inlineStr">
        <ns0:is>
          <ns0:t>［別紙1と一致するページ／セクションの一覧・掲載量］</ns0:t>
        </ns0:is>
      </ns0:c>
    </ns0:row>
    <ns0:row r="15" ht="45" customHeight="1">
      <ns0:c r="A15" s="4" t="inlineStr">
        <ns0:is>
          <ns0:t>含むもの</ns0:t>
        </ns0:is>
      </ns0:c>
      <ns0:c r="C15" s="1" t="inlineStr">
        <ns0:is>
          <ns0:t>構成・デザイン・スマホ対応・公開設定・検索向け基本設定・フォーム1つ・地図・外部予約/SNSリンク・軽微な修正2回</ns0:t>
        </ns0:is>
      </ns0:c>
    </ns0:row>
    <ns0:row r="16" ht="44" customHeight="1">
      <ns0:c r="A16" s="4" t="inlineStr">
        <ns0:is>
          <ns0:t>対象外・追加機能</ns0:t>
        </ns0:is>
      </ns0:c>
      <ns0:c r="C16" s="1" t="inlineStr">
        <ns0:is>
          <ns0:t>CMS・決済・会員・検索・独自予約・新規原稿・撮影・大幅な変更等は別途見積り。追加対応は下表と契約別紙で確定。</ns0:t>
        </ns0:is>
      </ns0:c>
    </ns0:row>
    <ns0:row r="18" ht="25" customHeight="1">
      <ns0:c r="A18" s="6" t="inlineStr">
        <ns0:is>
          <ns0:t>No.</ns0:t>
        </ns0:is>
      </ns0:c>
      <ns0:c r="B18" s="6" t="inlineStr">
        <ns0:is>
          <ns0:t>制作項目</ns0:t>
        </ns0:is>
      </ns0:c>
      <ns0:c r="C18" s="21" t="n"/>
      <ns0:c r="D18" s="6" t="inlineStr">
        <ns0:is>
          <ns0:t>数量</ns0:t>
        </ns0:is>
      </ns0:c>
      <ns0:c r="E18" s="6" t="inlineStr">
        <ns0:is>
          <ns0:t>単位</ns0:t>
        </ns0:is>
      </ns0:c>
      <ns0:c r="F18" s="6" t="inlineStr">
        <ns0:is>
          <ns0:t>税込単価</ns0:t>
        </ns0:is>
      </ns0:c>
      <ns0:c r="G18" s="6" t="inlineStr">
        <ns0:is>
          <ns0:t>税込金額</ns0:t>
        </ns0:is>
      </ns0:c>
      <ns0:c r="H18" s="21" t="n"/>
    </ns0:row>
    <ns0:row r="19" ht="29" customHeight="1">
      <ns0:c r="A19" s="7" t="n">
        <ns0:v>1</ns0:v>
      </ns0:c>
      <ns0:c r="B19" s="8" t="inlineStr">
        <ns0:is>
          <ns0:t>1ページ制作</ns0:t>
        </ns0:is>
      </ns0:c>
      <ns0:c r="C19" s="21" t="n"/>
      <ns0:c r="D19" s="9" t="n">
        <ns0:v>1</ns0:v>
      </ns0:c>
      <ns0:c r="E19" s="7" t="inlineStr">
        <ns0:is>
          <ns0:t>式</ns0:t>
        </ns0:is>
      </ns0:c>
      <ns0:c r="F19" s="10" t="n">
        <ns0:v>55000</ns0:v>
      </ns0:c>
      <ns0:c r="G19" s="11">
        <ns0:f>D19*F19</ns0:f>
        <ns0:v>55000</ns0:v>
      </ns0:c>
      <ns0:c r="H19" s="21" t="n"/>
    </ns0:row>
    <ns0:row r="20" ht="29" customHeight="1">
      <ns0:c r="A20" s="7" t="n">
        <ns0:v>2</ns0:v>
      </ns0:c>
      <ns0:c r="B20" s="8" t="inlineStr">
        <ns0:is>
          <ns0:t>ページ追加（既存デザイン）</ns0:t>
        </ns0:is>
      </ns0:c>
      <ns0:c r="C20" s="21" t="n"/>
      <ns0:c r="D20" s="9" t="n">
        <ns0:v>0</ns0:v>
      </ns0:c>
      <ns0:c r="E20" s="7" t="inlineStr">
        <ns0:is>
          <ns0:t>ページ</ns0:t>
        </ns0:is>
      </ns0:c>
      <ns0:c r="F20" s="10" t="n">
        <ns0:v>16500</ns0:v>
      </ns0:c>
      <ns0:c r="G20" s="11">
        <ns0:f>D20*F20</ns0:f>
        <ns0:v>0</ns0:v>
      </ns0:c>
      <ns0:c r="H20" s="21" t="n"/>
    </ns0:row>
    <ns0:row r="21" ht="29" customHeight="1">
      <ns0:c r="A21" s="7" t="n">
        <ns0:v>3</ns0:v>
      </ns0:c>
      <ns0:c r="B21" s="8" t="inlineStr">
        <ns0:is>
          <ns0:t>追加修正（3回目以降）</ns0:t>
        </ns0:is>
      </ns0:c>
      <ns0:c r="C21" s="21" t="n"/>
      <ns0:c r="D21" s="9" t="n">
        <ns0:v>0</ns0:v>
      </ns0:c>
      <ns0:c r="E21" s="7" t="inlineStr">
        <ns0:is>
          <ns0:t>回</ns0:t>
        </ns0:is>
      </ns0:c>
      <ns0:c r="F21" s="10" t="n">
        <ns0:v>5500</ns0:v>
      </ns0:c>
      <ns0:c r="G21" s="11">
        <ns0:f>D21*F21</ns0:f>
        <ns0:v>0</ns0:v>
      </ns0:c>
      <ns0:c r="H21" s="21" t="n"/>
    </ns0:row>
    <ns0:row r="22" ht="29" customHeight="1">
      <ns0:c r="A22" s="7" t="n">
        <ns0:v>4</ns0:v>
      </ns0:c>
      <ns0:c r="B22" s="8" t="inlineStr">
        <ns0:is>
          <ns0:t>個別見積りの追加機能</ns0:t>
        </ns0:is>
      </ns0:c>
      <ns0:c r="C22" s="21" t="n"/>
      <ns0:c r="D22" s="9" t="n">
        <ns0:v>0</ns0:v>
      </ns0:c>
      <ns0:c r="E22" s="7" t="inlineStr">
        <ns0:is>
          <ns0:t>式</ns0:t>
        </ns0:is>
      </ns0:c>
      <ns0:c r="F22" s="10" t="n">
        <ns0:v>0</ns0:v>
      </ns0:c>
      <ns0:c r="G22" s="11">
        <ns0:f>D22*F22</ns0:f>
        <ns0:v>0</ns0:v>
      </ns0:c>
      <ns0:c r="H22" s="21" t="n"/>
    </ns0:row>
    <ns0:row r="24" ht="37" customHeight="1">
      <ns0:c r="A24" s="12" t="inlineStr">
        <ns0:is>
          <ns0:t>制作費総額（税込）</ns0:t>
        </ns0:is>
      </ns0:c>
      <ns0:c r="B24" s="21" t="n"/>
      <ns0:c r="C24" s="21" t="n"/>
      <ns0:c r="D24" s="21" t="n"/>
      <ns0:c r="E24" s="21" t="n"/>
      <ns0:c r="F24" s="21" t="n"/>
      <ns0:c r="G24" s="13">
        <ns0:f>SUM(G19:G22)</ns0:f>
        <ns0:v>55000</ns0:v>
      </ns0:c>
      <ns0:c r="H24" s="21" t="n"/>
    </ns0:row>
    <ns0:row r="25" ht="24" customHeight="1">
      <ns0:c r="A25" s="8" t="inlineStr">
        <ns0:is>
          <ns0:t>うち消費税相当額（10％、総額から算出）</ns0:t>
        </ns0:is>
      </ns0:c>
      <ns0:c r="B25" s="21" t="n"/>
      <ns0:c r="C25" s="21" t="n"/>
      <ns0:c r="D25" s="21" t="n"/>
      <ns0:c r="E25" s="21" t="n"/>
      <ns0:c r="F25" s="21" t="n"/>
      <ns0:c r="G25" s="11">
        <ns0:f>ROUND(G24-G24/1.1,0)</ns0:f>
        <ns0:v>5000</ns0:v>
      </ns0:c>
      <ns0:c r="H25" s="21" t="n"/>
    </ns0:row>
    <ns0:row r="26" ht="33" customHeight="1">
      <ns0:c r="A26" s="1" t="inlineStr">
        <ns0:is>
          <ns0:t>追加単価は目安。掲載量・機能を確認して確定します。追加を含む場合は工程別内訳も調整。月額サポートは制作費に含みません。</ns0:t>
        </ns0:is>
      </ns0:c>
    </ns0:row>
    <ns0:row r="28" ht="25" customHeight="1">
      <ns0:c r="A28" s="14" t="inlineStr">
        <ns0:is>
          <ns0:t>工程別内訳（キャンセル精算の根拠）</ns0:t>
        </ns0:is>
      </ns0:c>
    </ns0:row>
    <ns0:row r="29" ht="25" customHeight="1">
      <ns0:c r="A29" s="8" t="inlineStr">
        <ns0:is>
          <ns0:t>構成・設計</ns0:t>
        </ns0:is>
      </ns0:c>
      <ns0:c r="B29" s="21" t="n"/>
      <ns0:c r="C29" s="21" t="n"/>
      <ns0:c r="D29" s="21" t="n"/>
      <ns0:c r="E29" s="21" t="n"/>
      <ns0:c r="F29" s="15" t="n">
        <ns0:v>0.2</ns0:v>
      </ns0:c>
      <ns0:c r="G29" s="11">
        <ns0:f>ROUND($G$24*F29,0)</ns0:f>
        <ns0:v>11000</ns0:v>
      </ns0:c>
      <ns0:c r="H29" s="21" t="n"/>
    </ns0:row>
    <ns0:row r="30" ht="25" customHeight="1">
      <ns0:c r="A30" s="8" t="inlineStr">
        <ns0:is>
          <ns0:t>デザイン</ns0:t>
        </ns0:is>
      </ns0:c>
      <ns0:c r="B30" s="21" t="n"/>
      <ns0:c r="C30" s="21" t="n"/>
      <ns0:c r="D30" s="21" t="n"/>
      <ns0:c r="E30" s="21" t="n"/>
      <ns0:c r="F30" s="15" t="n">
        <ns0:v>0.3</ns0:v>
      </ns0:c>
      <ns0:c r="G30" s="11">
        <ns0:f>ROUND($G$24*F30,0)</ns0:f>
        <ns0:v>16500</ns0:v>
      </ns0:c>
      <ns0:c r="H30" s="21" t="n"/>
    </ns0:row>
    <ns0:row r="31" ht="25" customHeight="1">
      <ns0:c r="A31" s="8" t="inlineStr">
        <ns0:is>
          <ns0:t>実装・フォーム等の設定</ns0:t>
        </ns0:is>
      </ns0:c>
      <ns0:c r="B31" s="21" t="n"/>
      <ns0:c r="C31" s="21" t="n"/>
      <ns0:c r="D31" s="21" t="n"/>
      <ns0:c r="E31" s="21" t="n"/>
      <ns0:c r="F31" s="15" t="n">
        <ns0:v>0.4</ns0:v>
      </ns0:c>
      <ns0:c r="G31" s="11">
        <ns0:f>ROUND($G$24*F31,0)</ns0:f>
        <ns0:v>22000</ns0:v>
      </ns0:c>
      <ns0:c r="H31" s="21" t="n"/>
    </ns0:row>
    <ns0:row r="32" ht="25" customHeight="1">
      <ns0:c r="A32" s="8" t="inlineStr">
        <ns0:is>
          <ns0:t>確認・公開・引渡し（残り）</ns0:t>
        </ns0:is>
      </ns0:c>
      <ns0:c r="B32" s="21" t="n"/>
      <ns0:c r="C32" s="21" t="n"/>
      <ns0:c r="D32" s="21" t="n"/>
      <ns0:c r="E32" s="21" t="n"/>
      <ns0:c r="F32" s="16">
        <ns0:f>1-SUM(F29:F31)</ns0:f>
        <ns0:v>0.1</ns0:v>
      </ns0:c>
      <ns0:c r="G32" s="11">
        <ns0:f>$G$24-SUM(G29:G31)</ns0:f>
        <ns0:v>5500</ns0:v>
      </ns0:c>
      <ns0:c r="H32" s="21" t="n"/>
    </ns0:row>
    <ns0:row r="33">
      <ns0:c r="A33" s="17" t="inlineStr">
        <ns0:is>
          <ns0:t>工程金額合計（制作費総額と一致）</ns0:t>
        </ns0:is>
      </ns0:c>
      <ns0:c r="B33" s="21" t="n"/>
      <ns0:c r="C33" s="21" t="n"/>
      <ns0:c r="D33" s="21" t="n"/>
      <ns0:c r="E33" s="21" t="n"/>
      <ns0:c r="F33" s="18">
        <ns0:f>SUM(F29:F32)</ns0:f>
        <ns0:v>1</ns0:v>
      </ns0:c>
      <ns0:c r="G33" s="19">
        <ns0:f>SUM(G29:G32)</ns0:f>
        <ns0:v>55000</ns0:v>
      </ns0:c>
      <ns0:c r="H33" s="21" t="n"/>
    </ns0:row>
    <ns0:row r="34" ht="36" customHeight="1">
      <ns0:c r="A34" s="1" t="inlineStr">
        <ns0:is>
          <ns0:t>配分は初期案。実際の作業に合わせて契約前に確定します。未完了の工程は作業記録・実施割合を示して精算し、工程に入っただけで全額請求しません。</ns0:t>
        </ns0:is>
      </ns0:c>
    </ns0:row>
    <ns0:row r="35" ht="22" customHeight="1">
      <ns0:c r="A35" s="1" t="str">
        <ns0:f>IF(F32&lt;0,"工程配分エラー：構成・デザイン・実装の合計を100％以下にしてください","工程配分確認：合計100％。確認・公開の配分と金額は残りを自動計算します。")</ns0:f>
        <ns0:v>工程配分確認：合計100％。確認・公開の配分と金額は残りを自動計算します。</ns0:v>
      </ns0:c>
    </ns0:row>
    <ns0:row r="36" ht="30" customHeight="1">
      <ns0:c r="A36" s="6" t="inlineStr">
        <ns0:is>
          <ns0:t>着手前50％</ns0:t>
        </ns0:is>
      </ns0:c>
      <ns0:c r="B36" s="21" t="n"/>
      <ns0:c r="C36" s="8" t="inlineStr">
        <ns0:is>
          <ns0:t>支払期限：［年・月・日］</ns0:t>
        </ns0:is>
      </ns0:c>
      <ns0:c r="D36" s="21" t="n"/>
      <ns0:c r="E36" s="21" t="n"/>
      <ns0:c r="F36" s="21" t="n"/>
      <ns0:c r="G36" s="11">
        <ns0:f>ROUND(G24/2,0)</ns0:f>
        <ns0:v>27500</ns0:v>
      </ns0:c>
      <ns0:c r="H36" s="21" t="n"/>
    </ns0:row>
    <ns0:row r="37" ht="30" customHeight="1">
      <ns0:c r="A37" s="6" t="inlineStr">
        <ns0:is>
          <ns0:t>最終確認後・公開前50％</ns0:t>
        </ns0:is>
      </ns0:c>
      <ns0:c r="B37" s="21" t="n"/>
      <ns0:c r="C37" s="8" t="inlineStr">
        <ns0:is>
          <ns0:t>支払期限：［年・月・日／最終承認後の請求日を確定］</ns0:t>
        </ns0:is>
      </ns0:c>
      <ns0:c r="D37" s="21" t="n"/>
      <ns0:c r="E37" s="21" t="n"/>
      <ns0:c r="F37" s="21" t="n"/>
      <ns0:c r="G37" s="11">
        <ns0:f>G24-G36</ns0:f>
        <ns0:v>27500</ns0:v>
      </ns0:c>
      <ns0:c r="H37" s="21" t="n"/>
    </ns0:row>
    <ns0:row r="39" ht="42" customHeight="1">
      <ns0:c r="A39" s="4" t="inlineStr">
        <ns0:is>
          <ns0:t>制作開始・納期</ns0:t>
        </ns0:is>
      </ns0:c>
      <ns0:c r="C39" s="5" t="inlineStr">
        <ns0:is>
          <ns0:t>［開始予定日］／［最終確認案日］／［公開予定日］。仕様・必要素材・着手金が揃ってから7日間目安。</ns0:t>
        </ns0:is>
      </ns0:c>
    </ns0:row>
    <ns0:row r="41" ht="36" customHeight="1">
      <ns0:c r="A41" s="20" t="inlineStr">
        <ns0:is>
          <ns0:t>見積条件・発注前の確認事項</ns0:t>
        </ns0:is>
      </ns0:c>
    </ns0:row>
    <ns0:row r="43" ht="48" customHeight="1">
      <ns0:c r="A43" s="4" t="inlineStr">
        <ns0:is>
          <ns0:t>原稿・素材・確認</ns0:t>
        </ns0:is>
      </ns0:c>
      <ns0:c r="C43" s="5" t="inlineStr">
        <ns0:is>
          <ns0:t>原稿・写真は発注者支給。［支給期限・担当者］。完成案への回答は原則5営業日以内。無回答を自動承認とは扱いません。</ns0:t>
        </ns0:is>
      </ns0:c>
    </ns0:row>
    <ns0:row r="44" ht="47" customHeight="1">
      <ns0:c r="A44" s="4" t="inlineStr">
        <ns0:is>
          <ns0:t>修正・追加作業</ns0:t>
        </ns0:is>
      </ns0:c>
      <ns0:c r="C44" s="1" t="inlineStr">
        <ns0:is>
          <ns0:t>軽微な修正2回。まとめた要望への対応を1回と数え、制作ミス・仕様不一致の修正は回数外。追加作業は金額・範囲・納期を事前合意。</ns0:t>
        </ns0:is>
      </ns0:c>
    </ns0:row>
    <ns0:row r="45" ht="47" customHeight="1">
      <ns0:c r="A45" s="4" t="inlineStr">
        <ns0:is>
          <ns0:t>フォーム・外部サービス</ns0:t>
        </ns0:is>
      </ns0:c>
      <ns0:c r="C45" s="5" t="inlineStr">
        <ns0:is>
          <ns0:t>［送信項目・サービス・受信メール・受信承認担当］。制作体験で提案した機能はすべて基本料金に含むものではありません。</ns0:t>
        </ns0:is>
      </ns0:c>
    </ns0:row>
    <ns0:row r="46" ht="43" customHeight="1">
      <ns0:c r="A46" s="4" t="inlineStr">
        <ns0:is>
          <ns0:t>対応環境・納品方法</ns0:t>
        </ns0:is>
      </ns0:c>
      <ns0:c r="C46" s="5" t="inlineStr">
        <ns0:is>
          <ns0:t>［確認ブラウザ・幅／納品ZIP・リポジトリ・更新案内／公開アカウントの管理者］</ns0:t>
        </ns0:is>
      </ns0:c>
    </ns0:row>
    <ns0:row r="47" ht="47" customHeight="1">
      <ns0:c r="A47" s="4" t="inlineStr">
        <ns0:is>
          <ns0:t>公開・権利</ns0:t>
        </ns0:is>
      </ns0:c>
      <ns0:c r="C47" s="1" t="inlineStr">
        <ns0:is>
          <ns0:t>最終承認と残金入金後に公開・納品。新規成果物の権利移転・第三者ライセンス等は制作契約書で定めます。実績掲載は別途事前承諾。</ns0:t>
        </ns0:is>
      </ns0:c>
    </ns0:row>
    <ns0:row r="49" ht="46" customHeight="1">
      <ns0:c r="A49" s="4" t="inlineStr">
        <ns0:is>
          <ns0:t>外部費用</ns0:t>
        </ns0:is>
      </ns0:c>
      <ns0:c r="C49" s="5" t="inlineStr">
        <ns0:is>
          <ns0:t>制作費とは別。［ドメイン・サーバー・有料サービス等の項目／金額／負担者／支払先・期限／なし］</ns0:t>
        </ns0:is>
      </ns0:c>
    </ns0:row>
    <ns0:row r="50" ht="40" customHeight="1">
      <ns0:c r="A50" s="4" t="inlineStr">
        <ns0:is>
          <ns0:t>銀行振込先</ns0:t>
        </ns0:is>
      </ns0:c>
      <ns0:c r="C50" s="5" t="inlineStr">
        <ns0:is>
          <ns0:t>［銀行・支店・種別・口座番号・正式な口座名義］。振込手数料は発注者負担。</ns0:t>
        </ns0:is>
      </ns0:c>
    </ns0:row>
    <ns0:row r="52" ht="30" customHeight="1">
      <ns0:c r="A52" s="4" t="inlineStr">
        <ns0:is>
          <ns0:t>契約前のキャンセル</ns0:t>
        </ns0:is>
      </ns0:c>
      <ns0:c r="C52" s="1" t="inlineStr">
        <ns0:is>
          <ns0:t>無料相談・見積りの段階では費用は発生しません。</ns0:t>
        </ns0:is>
      </ns0:c>
    </ns0:row>
    <ns0:row r="53" ht="40" customHeight="1">
      <ns0:c r="A53" s="4" t="inlineStr">
        <ns0:is>
          <ns0:t>契約後・着手前</ns0:t>
        </ns0:is>
      </ns0:c>
      <ns0:c r="C53" s="1" t="inlineStr">
        <ns0:is>
          <ns0:t>受領金は原則返金。事前合意済みの外部実費が発生している場合は、その実費のみ精算。</ns0:t>
        </ns0:is>
      </ns0:c>
    </ns0:row>
    <ns0:row r="54" ht="48" customHeight="1">
      <ns0:c r="A54" s="4" t="inlineStr">
        <ns0:is>
          <ns0:t>制作着手後</ns0:t>
        </ns0:is>
      </ns0:c>
      <ns0:c r="C54" s="1" t="inlineStr">
        <ns0:is>
          <ns0:t>実施済みの工程・作業割合と事前合意済み外部実費を根拠に精算。未実施分を請求せず、余剰金は精算額合意後10営業日以内に返金。</ns0:t>
        </ns0:is>
      </ns0:c>
    </ns0:row>
    <ns0:row r="55" ht="47" customHeight="1">
      <ns0:c r="A55" s="4" t="inlineStr">
        <ns0:is>
          <ns0:t>不具合・契約不履行</ns0:t>
        </ns0:is>
      </ns0:c>
      <ns0:c r="C55" s="1" t="inlineStr">
        <ns0:is>
          <ns0:t>制作ミス・仕様不一致・制作側の不履行は、発注者都合のキャンセルとは区別し、契約と法令に従い修正・精算等を行います。</ns0:t>
        </ns0:is>
      </ns0:c>
    </ns0:row>
    <ns0:row r="57" ht="42" customHeight="1">
      <ns0:c r="A57" s="4" t="inlineStr">
        <ns0:is>
          <ns0:t>任意の更新サポート</ns0:t>
        </ns0:is>
      </ns0:c>
      <ns0:c r="C57" s="1" t="inlineStr">
        <ns0:is>
          <ns0:t>月5,500円（税込）、月2回・合計60分まで、繰越なし。別の申込書で合意し、本見積りの制作費には含めません。</ns0:t>
        </ns0:is>
      </ns0:c>
    </ns0:row>
    <ns0:row r="58" ht="44" customHeight="1">
      <ns0:c r="A58" s="4" t="inlineStr">
        <ns0:is>
          <ns0:t>個別条件・契約添付</ns0:t>
        </ns0:is>
      </ns0:c>
      <ns0:c r="C58" s="5" t="inlineStr">
        <ns0:is>
          <ns0:t>［なし／追加の合意事項］。この確定見積書PDFを、同じ番号・版の契約書に添付します。</ns0:t>
        </ns0:is>
      </ns0:c>
    </ns0:row>
    <ns0:row r="60" ht="44" customHeight="1">
      <ns0:c r="A60" s="3" t="inlineStr">
        <ns0:is>
          <ns0:t>この見積書だけで制作を開始しません。正式情報・案件仕様・納期・支払期限・外部費用を確認し、契約書と別紙一式への双方の承諾を保存します。</ns0:t>
        </ns0:is>
      </ns0:c>
    </ns0:row>
    <ns0:row r="62" ht="24" customHeight="1">
      <ns0:c r="A62" s="1" t="inlineStr">
        <ns0:is>
          <ns0:t>書類ひな形 2026-10-05  /  専門サイト工房  /  https://pageatelier.jp/</ns0:t>
        </ns0:is>
      </ns0:c>
    </ns0:row>
  </ns0:sheetData>
  <ns0:mergeCells count="94">
    <ns0:mergeCell ref="G21:H21"/>
    <ns0:mergeCell ref="A15:B15"/>
    <ns0:mergeCell ref="C55:H55"/>
    <ns0:mergeCell ref="C9:H9"/>
    <ns0:mergeCell ref="B22:C22"/>
    <ns0:mergeCell ref="C37:F37"/>
    <ns0:mergeCell ref="C11:H11"/>
    <ns0:mergeCell ref="C46:H46"/>
    <ns0:mergeCell ref="B21:C21"/>
    <ns0:mergeCell ref="A54:B54"/>
    <ns0:mergeCell ref="A7:B7"/>
    <ns0:mergeCell ref="E18"/>
    <ns0:mergeCell ref="C52:H52"/>
    <ns0:mergeCell ref="C39:H39"/>
    <ns0:mergeCell ref="G18:H18"/>
    <ns0:mergeCell ref="A3:H3"/>
    <ns0:mergeCell ref="C13:H13"/>
    <ns0:mergeCell ref="A53:B53"/>
    <ns0:mergeCell ref="C15:H15"/>
    <ns0:mergeCell ref="A24:F24"/>
    <ns0:mergeCell ref="G20:H20"/>
    <ns0:mergeCell ref="G22:H22"/>
    <ns0:mergeCell ref="A9:B9"/>
    <ns0:mergeCell ref="C36:F36"/>
    <ns0:mergeCell ref="A39:B39"/>
    <ns0:mergeCell ref="C10:H10"/>
    <ns0:mergeCell ref="C16:H16"/>
    <ns0:mergeCell ref="C50:H50"/>
    <ns0:mergeCell ref="A11:B11"/>
    <ns0:mergeCell ref="A45:B45"/>
    <ns0:mergeCell ref="A60:H60"/>
    <ns0:mergeCell ref="C43:H43"/>
    <ns0:mergeCell ref="B18:C18"/>
    <ns0:mergeCell ref="A37:B37"/>
    <ns0:mergeCell ref="A46:B46"/>
    <ns0:mergeCell ref="G24:H24"/>
    <ns0:mergeCell ref="A2:H2"/>
    <ns0:mergeCell ref="G33:H33"/>
    <ns0:mergeCell ref="A32:E32"/>
    <ns0:mergeCell ref="A8:B8"/>
    <ns0:mergeCell ref="C6:H6"/>
    <ns0:mergeCell ref="A29:E29"/>
    <ns0:mergeCell ref="A62:H62"/>
    <ns0:mergeCell ref="A18"/>
    <ns0:mergeCell ref="A52:B52"/>
    <ns0:mergeCell ref="C14:H14"/>
    <ns0:mergeCell ref="G25:H25"/>
    <ns0:mergeCell ref="A10:B10"/>
    <ns0:mergeCell ref="A28:H28"/>
    <ns0:mergeCell ref="A31:E31"/>
    <ns0:mergeCell ref="C54:H54"/>
    <ns0:mergeCell ref="D18"/>
    <ns0:mergeCell ref="A49:B49"/>
    <ns0:mergeCell ref="A36:B36"/>
    <ns0:mergeCell ref="G37:H37"/>
    <ns0:mergeCell ref="A41:H41"/>
    <ns0:mergeCell ref="C8:H8"/>
    <ns0:mergeCell ref="A55:B55"/>
    <ns0:mergeCell ref="A26:H26"/>
    <ns0:mergeCell ref="C57:H57"/>
    <ns0:mergeCell ref="A57:B57"/>
    <ns0:mergeCell ref="B19:C19"/>
    <ns0:mergeCell ref="C53:H53"/>
    <ns0:mergeCell ref="A5:B5"/>
    <ns0:mergeCell ref="A14:B14"/>
    <ns0:mergeCell ref="C58:H58"/>
    <ns0:mergeCell ref="A35:H35"/>
    <ns0:mergeCell ref="A43:B43"/>
    <ns0:mergeCell ref="C5:H5"/>
    <ns0:mergeCell ref="B20:C20"/>
    <ns0:mergeCell ref="G32:H32"/>
    <ns0:mergeCell ref="C45:H45"/>
    <ns0:mergeCell ref="A34:H34"/>
    <ns0:mergeCell ref="A30:E30"/>
    <ns0:mergeCell ref="C47:H47"/>
    <ns0:mergeCell ref="C44:H44"/>
    <ns0:mergeCell ref="G36:H36"/>
    <ns0:mergeCell ref="A1:H1"/>
    <ns0:mergeCell ref="A6:B6"/>
    <ns0:mergeCell ref="A16:B16"/>
    <ns0:mergeCell ref="G19:H19"/>
    <ns0:mergeCell ref="C7:H7"/>
    <ns0:mergeCell ref="A50:B50"/>
    <ns0:mergeCell ref="G30:H30"/>
    <ns0:mergeCell ref="A47:B47"/>
    <ns0:mergeCell ref="A33:E33"/>
    <ns0:mergeCell ref="C49:H49"/>
    <ns0:mergeCell ref="F18"/>
    <ns0:mergeCell ref="G29:H29"/>
    <ns0:mergeCell ref="A13:B13"/>
    <ns0:mergeCell ref="G31:H31"/>
    <ns0:mergeCell ref="A44:B44"/>
    <ns0:mergeCell ref="A58:B58"/>
    <ns0:mergeCell ref="A25:F25"/>
  </ns0:mergeCells>
  <ns0:dataValidations count="2">
    <ns0:dataValidation sqref="D19:D22 F19:F22" showDropDown="0" showInputMessage="0" showErrorMessage="1" allowBlank="0" errorTitle="0以上の整数" error="数量・金額は0以上の整数で記入してください。" type="whole" operator="greaterThanOrEqual">
      <ns0:formula1>0</ns0:formula1>
    </ns0:dataValidation>
    <ns0:dataValidation sqref="F29:F31" showDropDown="0" showInputMessage="0" showErrorMessage="1" allowBlank="0" errorTitle="工程配分を確認" error="0〜100％で、3工程の合計を100％以下にしてください。" type="custom">
      <ns0:formula1>AND(F29&gt;=0,F29&lt;=1,SUM($F$29:$F$31)&lt;=1)</ns0:formula1>
    </ns0:dataValidation>
  </ns0:dataValidations>
  <ns0:pageMargins left="0.3" right="0.3" top="0.35" bottom="0.35" header="0.5" footer="0.5"/>
  <ns0:pageSetup orientation="portrait" paperSize="9" fitToHeight="0" fitToWidth="1"/>
  <ns0:headerFooter>
    <ns0:oddHeader/>
    <ns0:oddFooter>&amp;C&amp;8 &amp;P / &amp;N&amp;R専門サイト工房</ns0:oddFooter>
    <ns0:evenHeader/>
    <ns0:evenFooter/>
    <ns0:firstHeader/>
    <ns0:firstFooter/>
  </ns0:headerFooter>
  <ns0:rowBreaks count="1" manualBreakCount="1">
    <ns0:brk id="34" min="0" max="16383" man="1"/>
  </ns0:rowBreaks>
</ns0:worksheet>
</file>

<file path=xl/worksheets/sheet2.xml><?xml version="1.0" encoding="utf-8"?>
<ns0:worksheet xmlns:ns0="http://schemas.openxmlformats.org/spreadsheetml/2006/main">
  <ns0:sheetPr>
    <ns0:outlinePr summaryBelow="1" summaryRight="1"/>
    <ns0:pageSetUpPr fitToPage="1"/>
  </ns0:sheetPr>
  <ns0:dimension ref="A1:H62"/>
  <ns0:sheetViews>
    <ns0:sheetView showGridLines="0" workbookViewId="0">
      <ns0:pane ySplit="4" topLeftCell="A5" activePane="bottomLeft" state="frozen"/>
      <ns0:selection pane="bottomLeft" activeCell="A1" sqref="A1"/>
    </ns0:sheetView>
  </ns0:sheetViews>
  <ns0:sheetFormatPr baseColWidth="8" defaultRowHeight="15"/>
  <ns0:cols>
    <ns0:col width="5" customWidth="1" min="1" max="1"/>
    <ns0:col width="25" customWidth="1" min="2" max="2"/>
    <ns0:col width="19" customWidth="1" min="3" max="3"/>
    <ns0:col width="14" customWidth="1" min="4" max="4"/>
    <ns0:col width="14" customWidth="1" min="5" max="5"/>
    <ns0:col width="14" customWidth="1" min="6" max="6"/>
    <ns0:col width="18" customWidth="1" min="7" max="7"/>
    <ns0:col width="18" customWidth="1" min="8" max="8"/>
  </ns0:cols>
  <ns0:sheetData>
    <ns0:row r="1" ht="22" customHeight="1">
      <ns0:c r="A1" s="1" t="inlineStr">
        <ns0:is>
          <ns0:t>専門サイト工房 / pageatelier.jp</ns0:t>
        </ns0:is>
      </ns0:c>
    </ns0:row>
    <ns0:row r="2" ht="40" customHeight="1">
      <ns0:c r="A2" s="2" t="inlineStr">
        <ns0:is>
          <ns0:t>見積書｜小規模サイト制作</ns0:t>
        </ns0:is>
      </ns0:c>
    </ns0:row>
    <ns0:row r="3" ht="27" customHeight="1">
      <ns0:c r="A3" s="3" t="inlineStr">
        <ns0:is>
          <ns0:t>記入用ひな形：［ ］欄と案件条件を確定してから送付。緑文字の入力欄を編集してください。</ns0:t>
        </ns0:is>
      </ns0:c>
    </ns0:row>
    <ns0:row r="5" ht="30" customHeight="1">
      <ns0:c r="A5" s="4" t="inlineStr">
        <ns0:is>
          <ns0:t>見積番号・版</ns0:t>
        </ns0:is>
      </ns0:c>
      <ns0:c r="C5" s="5" t="inlineStr">
        <ns0:is>
          <ns0:t>［PA-2026-001 / 第1版］</ns0:t>
        </ns0:is>
      </ns0:c>
    </ns0:row>
    <ns0:row r="6" ht="30" customHeight="1">
      <ns0:c r="A6" s="4" t="inlineStr">
        <ns0:is>
          <ns0:t>発行日・有効期限</ns0:t>
        </ns0:is>
      </ns0:c>
      <ns0:c r="C6" s="5" t="inlineStr">
        <ns0:is>
          <ns0:t>［発行年月日］／［有効期限：発行日から14日等、具体的な年月日］</ns0:t>
        </ns0:is>
      </ns0:c>
    </ns0:row>
    <ns0:row r="7" ht="30" customHeight="1">
      <ns0:c r="A7" s="4" t="inlineStr">
        <ns0:is>
          <ns0:t>宛先</ns0:t>
        </ns0:is>
      </ns0:c>
      <ns0:c r="C7" s="5" t="inlineStr">
        <ns0:is>
          <ns0:t>［正式法人名・代表者／個人事業主の正式氏名］</ns0:t>
        </ns0:is>
      </ns0:c>
    </ns0:row>
    <ns0:row r="8" ht="30" customHeight="1">
      <ns0:c r="A8" s="4" t="inlineStr">
        <ns0:is>
          <ns0:t>案件名・対象サイト</ns0:t>
        </ns0:is>
      </ns0:c>
      <ns0:c r="C8" s="5" t="inlineStr">
        <ns0:is>
          <ns0:t>［案件名・URLまたは公開予定ドメイン］</ns0:t>
        </ns0:is>
      </ns0:c>
    </ns0:row>
    <ns0:row r="9" ht="30" customHeight="1">
      <ns0:c r="A9" s="4" t="inlineStr">
        <ns0:is>
          <ns0:t>発行者（正式氏名）</ns0:t>
        </ns0:is>
      </ns0:c>
      <ns0:c r="C9" s="5" t="inlineStr">
        <ns0:is>
          <ns0:t>［運営者の正式氏名］（個人事業・サービス名：専門サイト工房）</ns0:t>
        </ns0:is>
      </ns0:c>
    </ns0:row>
    <ns0:row r="10" ht="30" customHeight="1">
      <ns0:c r="A10" s="4" t="inlineStr">
        <ns0:is>
          <ns0:t>発行者住所・電話</ns0:t>
        </ns0:is>
      </ns0:c>
      <ns0:c r="C10" s="5" t="inlineStr">
        <ns0:is>
          <ns0:t>［郵便番号・正確な住所］／［連絡可能な電話番号］</ns0:t>
        </ns0:is>
      </ns0:c>
    </ns0:row>
    <ns0:row r="11" ht="30" customHeight="1">
      <ns0:c r="A11" s="4" t="inlineStr">
        <ns0:is>
          <ns0:t>発行者メール</ns0:t>
        </ns0:is>
      </ns0:c>
      <ns0:c r="C11" s="1" t="inlineStr">
        <ns0:is>
          <ns0:t>eyu.eyu0806@gmail.com</ns0:t>
        </ns0:is>
      </ns0:c>
    </ns0:row>
    <ns0:row r="13" ht="38" customHeight="1">
      <ns0:c r="A13" s="4" t="inlineStr">
        <ns0:is>
          <ns0:t>基本範囲</ns0:t>
        </ns0:is>
      </ns0:c>
      <ns0:c r="C13" s="1" t="inlineStr">
        <ns0:is>
          <ns0:t>トップページを含む5ページまで。原稿支給のプライバシーポリシー1ページはページ数外で掲載。</ns0:t>
        </ns0:is>
      </ns0:c>
    </ns0:row>
    <ns0:row r="14" ht="40" customHeight="1">
      <ns0:c r="A14" s="4" t="inlineStr">
        <ns0:is>
          <ns0:t>ページ・掲載内容</ns0:t>
        </ns0:is>
      </ns0:c>
      <ns0:c r="C14" s="5" t="inlineStr">
        <ns0:is>
          <ns0:t>［別紙1と一致するページ／セクションの一覧・掲載量］</ns0:t>
        </ns0:is>
      </ns0:c>
    </ns0:row>
    <ns0:row r="15" ht="45" customHeight="1">
      <ns0:c r="A15" s="4" t="inlineStr">
        <ns0:is>
          <ns0:t>含むもの</ns0:t>
        </ns0:is>
      </ns0:c>
      <ns0:c r="C15" s="1" t="inlineStr">
        <ns0:is>
          <ns0:t>構成・デザイン・スマホ対応・公開設定・検索向け基本設定・フォーム1つ・地図・外部予約/SNSリンク・軽微な修正2回</ns0:t>
        </ns0:is>
      </ns0:c>
    </ns0:row>
    <ns0:row r="16" ht="44" customHeight="1">
      <ns0:c r="A16" s="4" t="inlineStr">
        <ns0:is>
          <ns0:t>対象外・追加機能</ns0:t>
        </ns0:is>
      </ns0:c>
      <ns0:c r="C16" s="1" t="inlineStr">
        <ns0:is>
          <ns0:t>CMS・決済・会員・検索・独自予約・新規原稿・撮影・大幅な変更等は別途見積り。追加対応は下表と契約別紙で確定。</ns0:t>
        </ns0:is>
      </ns0:c>
    </ns0:row>
    <ns0:row r="18" ht="25" customHeight="1">
      <ns0:c r="A18" s="6" t="inlineStr">
        <ns0:is>
          <ns0:t>No.</ns0:t>
        </ns0:is>
      </ns0:c>
      <ns0:c r="B18" s="6" t="inlineStr">
        <ns0:is>
          <ns0:t>制作項目</ns0:t>
        </ns0:is>
      </ns0:c>
      <ns0:c r="C18" s="21" t="n"/>
      <ns0:c r="D18" s="6" t="inlineStr">
        <ns0:is>
          <ns0:t>数量</ns0:t>
        </ns0:is>
      </ns0:c>
      <ns0:c r="E18" s="6" t="inlineStr">
        <ns0:is>
          <ns0:t>単位</ns0:t>
        </ns0:is>
      </ns0:c>
      <ns0:c r="F18" s="6" t="inlineStr">
        <ns0:is>
          <ns0:t>税込単価</ns0:t>
        </ns0:is>
      </ns0:c>
      <ns0:c r="G18" s="6" t="inlineStr">
        <ns0:is>
          <ns0:t>税込金額</ns0:t>
        </ns0:is>
      </ns0:c>
      <ns0:c r="H18" s="21" t="n"/>
    </ns0:row>
    <ns0:row r="19" ht="29" customHeight="1">
      <ns0:c r="A19" s="7" t="n">
        <ns0:v>1</ns0:v>
      </ns0:c>
      <ns0:c r="B19" s="8" t="inlineStr">
        <ns0:is>
          <ns0:t>小規模サイト制作</ns0:t>
        </ns0:is>
      </ns0:c>
      <ns0:c r="C19" s="21" t="n"/>
      <ns0:c r="D19" s="9" t="n">
        <ns0:v>1</ns0:v>
      </ns0:c>
      <ns0:c r="E19" s="7" t="inlineStr">
        <ns0:is>
          <ns0:t>式</ns0:t>
        </ns0:is>
      </ns0:c>
      <ns0:c r="F19" s="10" t="n">
        <ns0:v>110000</ns0:v>
      </ns0:c>
      <ns0:c r="G19" s="11">
        <ns0:f>D19*F19</ns0:f>
        <ns0:v>110000</ns0:v>
      </ns0:c>
      <ns0:c r="H19" s="21" t="n"/>
    </ns0:row>
    <ns0:row r="20" ht="29" customHeight="1">
      <ns0:c r="A20" s="7" t="n">
        <ns0:v>2</ns0:v>
      </ns0:c>
      <ns0:c r="B20" s="8" t="inlineStr">
        <ns0:is>
          <ns0:t>ページ追加（既存デザイン）</ns0:t>
        </ns0:is>
      </ns0:c>
      <ns0:c r="C20" s="21" t="n"/>
      <ns0:c r="D20" s="9" t="n">
        <ns0:v>0</ns0:v>
      </ns0:c>
      <ns0:c r="E20" s="7" t="inlineStr">
        <ns0:is>
          <ns0:t>ページ</ns0:t>
        </ns0:is>
      </ns0:c>
      <ns0:c r="F20" s="10" t="n">
        <ns0:v>16500</ns0:v>
      </ns0:c>
      <ns0:c r="G20" s="11">
        <ns0:f>D20*F20</ns0:f>
        <ns0:v>0</ns0:v>
      </ns0:c>
      <ns0:c r="H20" s="21" t="n"/>
    </ns0:row>
    <ns0:row r="21" ht="29" customHeight="1">
      <ns0:c r="A21" s="7" t="n">
        <ns0:v>3</ns0:v>
      </ns0:c>
      <ns0:c r="B21" s="8" t="inlineStr">
        <ns0:is>
          <ns0:t>追加修正（3回目以降）</ns0:t>
        </ns0:is>
      </ns0:c>
      <ns0:c r="C21" s="21" t="n"/>
      <ns0:c r="D21" s="9" t="n">
        <ns0:v>0</ns0:v>
      </ns0:c>
      <ns0:c r="E21" s="7" t="inlineStr">
        <ns0:is>
          <ns0:t>回</ns0:t>
        </ns0:is>
      </ns0:c>
      <ns0:c r="F21" s="10" t="n">
        <ns0:v>5500</ns0:v>
      </ns0:c>
      <ns0:c r="G21" s="11">
        <ns0:f>D21*F21</ns0:f>
        <ns0:v>0</ns0:v>
      </ns0:c>
      <ns0:c r="H21" s="21" t="n"/>
    </ns0:row>
    <ns0:row r="22" ht="29" customHeight="1">
      <ns0:c r="A22" s="7" t="n">
        <ns0:v>4</ns0:v>
      </ns0:c>
      <ns0:c r="B22" s="8" t="inlineStr">
        <ns0:is>
          <ns0:t>個別見積りの追加機能</ns0:t>
        </ns0:is>
      </ns0:c>
      <ns0:c r="C22" s="21" t="n"/>
      <ns0:c r="D22" s="9" t="n">
        <ns0:v>0</ns0:v>
      </ns0:c>
      <ns0:c r="E22" s="7" t="inlineStr">
        <ns0:is>
          <ns0:t>式</ns0:t>
        </ns0:is>
      </ns0:c>
      <ns0:c r="F22" s="10" t="n">
        <ns0:v>0</ns0:v>
      </ns0:c>
      <ns0:c r="G22" s="11">
        <ns0:f>D22*F22</ns0:f>
        <ns0:v>0</ns0:v>
      </ns0:c>
      <ns0:c r="H22" s="21" t="n"/>
    </ns0:row>
    <ns0:row r="24" ht="37" customHeight="1">
      <ns0:c r="A24" s="12" t="inlineStr">
        <ns0:is>
          <ns0:t>制作費総額（税込）</ns0:t>
        </ns0:is>
      </ns0:c>
      <ns0:c r="B24" s="21" t="n"/>
      <ns0:c r="C24" s="21" t="n"/>
      <ns0:c r="D24" s="21" t="n"/>
      <ns0:c r="E24" s="21" t="n"/>
      <ns0:c r="F24" s="21" t="n"/>
      <ns0:c r="G24" s="13">
        <ns0:f>SUM(G19:G22)</ns0:f>
        <ns0:v>110000</ns0:v>
      </ns0:c>
      <ns0:c r="H24" s="21" t="n"/>
    </ns0:row>
    <ns0:row r="25" ht="24" customHeight="1">
      <ns0:c r="A25" s="8" t="inlineStr">
        <ns0:is>
          <ns0:t>うち消費税相当額（10％、総額から算出）</ns0:t>
        </ns0:is>
      </ns0:c>
      <ns0:c r="B25" s="21" t="n"/>
      <ns0:c r="C25" s="21" t="n"/>
      <ns0:c r="D25" s="21" t="n"/>
      <ns0:c r="E25" s="21" t="n"/>
      <ns0:c r="F25" s="21" t="n"/>
      <ns0:c r="G25" s="11">
        <ns0:f>ROUND(G24-G24/1.1,0)</ns0:f>
        <ns0:v>10000</ns0:v>
      </ns0:c>
      <ns0:c r="H25" s="21" t="n"/>
    </ns0:row>
    <ns0:row r="26" ht="33" customHeight="1">
      <ns0:c r="A26" s="1" t="inlineStr">
        <ns0:is>
          <ns0:t>追加単価は目安。掲載量・機能を確認して確定します。追加を含む場合は工程別内訳も調整。月額サポートは制作費に含みません。</ns0:t>
        </ns0:is>
      </ns0:c>
    </ns0:row>
    <ns0:row r="28" ht="25" customHeight="1">
      <ns0:c r="A28" s="14" t="inlineStr">
        <ns0:is>
          <ns0:t>工程別内訳（キャンセル精算の根拠）</ns0:t>
        </ns0:is>
      </ns0:c>
    </ns0:row>
    <ns0:row r="29" ht="25" customHeight="1">
      <ns0:c r="A29" s="8" t="inlineStr">
        <ns0:is>
          <ns0:t>構成・設計</ns0:t>
        </ns0:is>
      </ns0:c>
      <ns0:c r="B29" s="21" t="n"/>
      <ns0:c r="C29" s="21" t="n"/>
      <ns0:c r="D29" s="21" t="n"/>
      <ns0:c r="E29" s="21" t="n"/>
      <ns0:c r="F29" s="15" t="n">
        <ns0:v>0.2</ns0:v>
      </ns0:c>
      <ns0:c r="G29" s="11">
        <ns0:f>ROUND($G$24*F29,0)</ns0:f>
        <ns0:v>22000</ns0:v>
      </ns0:c>
      <ns0:c r="H29" s="21" t="n"/>
    </ns0:row>
    <ns0:row r="30" ht="25" customHeight="1">
      <ns0:c r="A30" s="8" t="inlineStr">
        <ns0:is>
          <ns0:t>デザイン</ns0:t>
        </ns0:is>
      </ns0:c>
      <ns0:c r="B30" s="21" t="n"/>
      <ns0:c r="C30" s="21" t="n"/>
      <ns0:c r="D30" s="21" t="n"/>
      <ns0:c r="E30" s="21" t="n"/>
      <ns0:c r="F30" s="15" t="n">
        <ns0:v>0.3</ns0:v>
      </ns0:c>
      <ns0:c r="G30" s="11">
        <ns0:f>ROUND($G$24*F30,0)</ns0:f>
        <ns0:v>33000</ns0:v>
      </ns0:c>
      <ns0:c r="H30" s="21" t="n"/>
    </ns0:row>
    <ns0:row r="31" ht="25" customHeight="1">
      <ns0:c r="A31" s="8" t="inlineStr">
        <ns0:is>
          <ns0:t>実装・フォーム等の設定</ns0:t>
        </ns0:is>
      </ns0:c>
      <ns0:c r="B31" s="21" t="n"/>
      <ns0:c r="C31" s="21" t="n"/>
      <ns0:c r="D31" s="21" t="n"/>
      <ns0:c r="E31" s="21" t="n"/>
      <ns0:c r="F31" s="15" t="n">
        <ns0:v>0.4</ns0:v>
      </ns0:c>
      <ns0:c r="G31" s="11">
        <ns0:f>ROUND($G$24*F31,0)</ns0:f>
        <ns0:v>44000</ns0:v>
      </ns0:c>
      <ns0:c r="H31" s="21" t="n"/>
    </ns0:row>
    <ns0:row r="32" ht="25" customHeight="1">
      <ns0:c r="A32" s="8" t="inlineStr">
        <ns0:is>
          <ns0:t>確認・公開・引渡し（残り）</ns0:t>
        </ns0:is>
      </ns0:c>
      <ns0:c r="B32" s="21" t="n"/>
      <ns0:c r="C32" s="21" t="n"/>
      <ns0:c r="D32" s="21" t="n"/>
      <ns0:c r="E32" s="21" t="n"/>
      <ns0:c r="F32" s="16">
        <ns0:f>1-SUM(F29:F31)</ns0:f>
        <ns0:v>0.1</ns0:v>
      </ns0:c>
      <ns0:c r="G32" s="11">
        <ns0:f>$G$24-SUM(G29:G31)</ns0:f>
        <ns0:v>11000</ns0:v>
      </ns0:c>
      <ns0:c r="H32" s="21" t="n"/>
    </ns0:row>
    <ns0:row r="33">
      <ns0:c r="A33" s="17" t="inlineStr">
        <ns0:is>
          <ns0:t>工程金額合計（制作費総額と一致）</ns0:t>
        </ns0:is>
      </ns0:c>
      <ns0:c r="B33" s="21" t="n"/>
      <ns0:c r="C33" s="21" t="n"/>
      <ns0:c r="D33" s="21" t="n"/>
      <ns0:c r="E33" s="21" t="n"/>
      <ns0:c r="F33" s="18">
        <ns0:f>SUM(F29:F32)</ns0:f>
        <ns0:v>1</ns0:v>
      </ns0:c>
      <ns0:c r="G33" s="19">
        <ns0:f>SUM(G29:G32)</ns0:f>
        <ns0:v>110000</ns0:v>
      </ns0:c>
      <ns0:c r="H33" s="21" t="n"/>
    </ns0:row>
    <ns0:row r="34" ht="36" customHeight="1">
      <ns0:c r="A34" s="1" t="inlineStr">
        <ns0:is>
          <ns0:t>配分は初期案。実際の作業に合わせて契約前に確定します。未完了の工程は作業記録・実施割合を示して精算し、工程に入っただけで全額請求しません。</ns0:t>
        </ns0:is>
      </ns0:c>
    </ns0:row>
    <ns0:row r="35" ht="22" customHeight="1">
      <ns0:c r="A35" s="1" t="str">
        <ns0:f>IF(F32&lt;0,"工程配分エラー：構成・デザイン・実装の合計を100％以下にしてください","工程配分確認：合計100％。確認・公開の配分と金額は残りを自動計算します。")</ns0:f>
        <ns0:v>工程配分確認：合計100％。確認・公開の配分と金額は残りを自動計算します。</ns0:v>
      </ns0:c>
    </ns0:row>
    <ns0:row r="36" ht="30" customHeight="1">
      <ns0:c r="A36" s="6" t="inlineStr">
        <ns0:is>
          <ns0:t>着手前50％</ns0:t>
        </ns0:is>
      </ns0:c>
      <ns0:c r="B36" s="21" t="n"/>
      <ns0:c r="C36" s="8" t="inlineStr">
        <ns0:is>
          <ns0:t>支払期限：［年・月・日］</ns0:t>
        </ns0:is>
      </ns0:c>
      <ns0:c r="D36" s="21" t="n"/>
      <ns0:c r="E36" s="21" t="n"/>
      <ns0:c r="F36" s="21" t="n"/>
      <ns0:c r="G36" s="11">
        <ns0:f>ROUND(G24/2,0)</ns0:f>
        <ns0:v>55000</ns0:v>
      </ns0:c>
      <ns0:c r="H36" s="21" t="n"/>
    </ns0:row>
    <ns0:row r="37" ht="30" customHeight="1">
      <ns0:c r="A37" s="6" t="inlineStr">
        <ns0:is>
          <ns0:t>最終確認後・公開前50％</ns0:t>
        </ns0:is>
      </ns0:c>
      <ns0:c r="B37" s="21" t="n"/>
      <ns0:c r="C37" s="8" t="inlineStr">
        <ns0:is>
          <ns0:t>支払期限：［年・月・日／最終承認後の請求日を確定］</ns0:t>
        </ns0:is>
      </ns0:c>
      <ns0:c r="D37" s="21" t="n"/>
      <ns0:c r="E37" s="21" t="n"/>
      <ns0:c r="F37" s="21" t="n"/>
      <ns0:c r="G37" s="11">
        <ns0:f>G24-G36</ns0:f>
        <ns0:v>55000</ns0:v>
      </ns0:c>
      <ns0:c r="H37" s="21" t="n"/>
    </ns0:row>
    <ns0:row r="39" ht="42" customHeight="1">
      <ns0:c r="A39" s="4" t="inlineStr">
        <ns0:is>
          <ns0:t>制作開始・納期</ns0:t>
        </ns0:is>
      </ns0:c>
      <ns0:c r="C39" s="5" t="inlineStr">
        <ns0:is>
          <ns0:t>［開始予定日］／［最終確認案日］／［公開予定日］。仕様・必要素材・着手金が揃ってから7日間目安。</ns0:t>
        </ns0:is>
      </ns0:c>
    </ns0:row>
    <ns0:row r="41" ht="36" customHeight="1">
      <ns0:c r="A41" s="20" t="inlineStr">
        <ns0:is>
          <ns0:t>見積条件・発注前の確認事項</ns0:t>
        </ns0:is>
      </ns0:c>
    </ns0:row>
    <ns0:row r="43" ht="48" customHeight="1">
      <ns0:c r="A43" s="4" t="inlineStr">
        <ns0:is>
          <ns0:t>原稿・素材・確認</ns0:t>
        </ns0:is>
      </ns0:c>
      <ns0:c r="C43" s="5" t="inlineStr">
        <ns0:is>
          <ns0:t>原稿・写真は発注者支給。［支給期限・担当者］。完成案への回答は原則5営業日以内。無回答を自動承認とは扱いません。</ns0:t>
        </ns0:is>
      </ns0:c>
    </ns0:row>
    <ns0:row r="44" ht="47" customHeight="1">
      <ns0:c r="A44" s="4" t="inlineStr">
        <ns0:is>
          <ns0:t>修正・追加作業</ns0:t>
        </ns0:is>
      </ns0:c>
      <ns0:c r="C44" s="1" t="inlineStr">
        <ns0:is>
          <ns0:t>軽微な修正2回。まとめた要望への対応を1回と数え、制作ミス・仕様不一致の修正は回数外。追加作業は金額・範囲・納期を事前合意。</ns0:t>
        </ns0:is>
      </ns0:c>
    </ns0:row>
    <ns0:row r="45" ht="47" customHeight="1">
      <ns0:c r="A45" s="4" t="inlineStr">
        <ns0:is>
          <ns0:t>フォーム・外部サービス</ns0:t>
        </ns0:is>
      </ns0:c>
      <ns0:c r="C45" s="5" t="inlineStr">
        <ns0:is>
          <ns0:t>［送信項目・サービス・受信メール・受信承認担当］。制作体験で提案した機能はすべて基本料金に含むものではありません。</ns0:t>
        </ns0:is>
      </ns0:c>
    </ns0:row>
    <ns0:row r="46" ht="43" customHeight="1">
      <ns0:c r="A46" s="4" t="inlineStr">
        <ns0:is>
          <ns0:t>対応環境・納品方法</ns0:t>
        </ns0:is>
      </ns0:c>
      <ns0:c r="C46" s="5" t="inlineStr">
        <ns0:is>
          <ns0:t>［確認ブラウザ・幅／納品ZIP・リポジトリ・更新案内／公開アカウントの管理者］</ns0:t>
        </ns0:is>
      </ns0:c>
    </ns0:row>
    <ns0:row r="47" ht="47" customHeight="1">
      <ns0:c r="A47" s="4" t="inlineStr">
        <ns0:is>
          <ns0:t>公開・権利</ns0:t>
        </ns0:is>
      </ns0:c>
      <ns0:c r="C47" s="1" t="inlineStr">
        <ns0:is>
          <ns0:t>最終承認と残金入金後に公開・納品。新規成果物の権利移転・第三者ライセンス等は制作契約書で定めます。実績掲載は別途事前承諾。</ns0:t>
        </ns0:is>
      </ns0:c>
    </ns0:row>
    <ns0:row r="49" ht="46" customHeight="1">
      <ns0:c r="A49" s="4" t="inlineStr">
        <ns0:is>
          <ns0:t>外部費用</ns0:t>
        </ns0:is>
      </ns0:c>
      <ns0:c r="C49" s="5" t="inlineStr">
        <ns0:is>
          <ns0:t>制作費とは別。［ドメイン・サーバー・有料サービス等の項目／金額／負担者／支払先・期限／なし］</ns0:t>
        </ns0:is>
      </ns0:c>
    </ns0:row>
    <ns0:row r="50" ht="40" customHeight="1">
      <ns0:c r="A50" s="4" t="inlineStr">
        <ns0:is>
          <ns0:t>銀行振込先</ns0:t>
        </ns0:is>
      </ns0:c>
      <ns0:c r="C50" s="5" t="inlineStr">
        <ns0:is>
          <ns0:t>［銀行・支店・種別・口座番号・正式な口座名義］。振込手数料は発注者負担。</ns0:t>
        </ns0:is>
      </ns0:c>
    </ns0:row>
    <ns0:row r="52" ht="30" customHeight="1">
      <ns0:c r="A52" s="4" t="inlineStr">
        <ns0:is>
          <ns0:t>契約前のキャンセル</ns0:t>
        </ns0:is>
      </ns0:c>
      <ns0:c r="C52" s="1" t="inlineStr">
        <ns0:is>
          <ns0:t>無料相談・見積りの段階では費用は発生しません。</ns0:t>
        </ns0:is>
      </ns0:c>
    </ns0:row>
    <ns0:row r="53" ht="40" customHeight="1">
      <ns0:c r="A53" s="4" t="inlineStr">
        <ns0:is>
          <ns0:t>契約後・着手前</ns0:t>
        </ns0:is>
      </ns0:c>
      <ns0:c r="C53" s="1" t="inlineStr">
        <ns0:is>
          <ns0:t>受領金は原則返金。事前合意済みの外部実費が発生している場合は、その実費のみ精算。</ns0:t>
        </ns0:is>
      </ns0:c>
    </ns0:row>
    <ns0:row r="54" ht="48" customHeight="1">
      <ns0:c r="A54" s="4" t="inlineStr">
        <ns0:is>
          <ns0:t>制作着手後</ns0:t>
        </ns0:is>
      </ns0:c>
      <ns0:c r="C54" s="1" t="inlineStr">
        <ns0:is>
          <ns0:t>実施済みの工程・作業割合と事前合意済み外部実費を根拠に精算。未実施分を請求せず、余剰金は精算額合意後10営業日以内に返金。</ns0:t>
        </ns0:is>
      </ns0:c>
    </ns0:row>
    <ns0:row r="55" ht="47" customHeight="1">
      <ns0:c r="A55" s="4" t="inlineStr">
        <ns0:is>
          <ns0:t>不具合・契約不履行</ns0:t>
        </ns0:is>
      </ns0:c>
      <ns0:c r="C55" s="1" t="inlineStr">
        <ns0:is>
          <ns0:t>制作ミス・仕様不一致・制作側の不履行は、発注者都合のキャンセルとは区別し、契約と法令に従い修正・精算等を行います。</ns0:t>
        </ns0:is>
      </ns0:c>
    </ns0:row>
    <ns0:row r="57" ht="42" customHeight="1">
      <ns0:c r="A57" s="4" t="inlineStr">
        <ns0:is>
          <ns0:t>任意の更新サポート</ns0:t>
        </ns0:is>
      </ns0:c>
      <ns0:c r="C57" s="1" t="inlineStr">
        <ns0:is>
          <ns0:t>月5,500円（税込）、月2回・合計60分まで、繰越なし。別の申込書で合意し、本見積りの制作費には含めません。</ns0:t>
        </ns0:is>
      </ns0:c>
    </ns0:row>
    <ns0:row r="58" ht="44" customHeight="1">
      <ns0:c r="A58" s="4" t="inlineStr">
        <ns0:is>
          <ns0:t>個別条件・契約添付</ns0:t>
        </ns0:is>
      </ns0:c>
      <ns0:c r="C58" s="5" t="inlineStr">
        <ns0:is>
          <ns0:t>［なし／追加の合意事項］。この確定見積書PDFを、同じ番号・版の契約書に添付します。</ns0:t>
        </ns0:is>
      </ns0:c>
    </ns0:row>
    <ns0:row r="60" ht="44" customHeight="1">
      <ns0:c r="A60" s="3" t="inlineStr">
        <ns0:is>
          <ns0:t>この見積書だけで制作を開始しません。正式情報・案件仕様・納期・支払期限・外部費用を確認し、契約書と別紙一式への双方の承諾を保存します。</ns0:t>
        </ns0:is>
      </ns0:c>
    </ns0:row>
    <ns0:row r="62" ht="24" customHeight="1">
      <ns0:c r="A62" s="1" t="inlineStr">
        <ns0:is>
          <ns0:t>書類ひな形 2026-10-05  /  専門サイト工房  /  https://pageatelier.jp/</ns0:t>
        </ns0:is>
      </ns0:c>
    </ns0:row>
  </ns0:sheetData>
  <ns0:mergeCells count="94">
    <ns0:mergeCell ref="G21:H21"/>
    <ns0:mergeCell ref="A15:B15"/>
    <ns0:mergeCell ref="C55:H55"/>
    <ns0:mergeCell ref="C9:H9"/>
    <ns0:mergeCell ref="B22:C22"/>
    <ns0:mergeCell ref="C37:F37"/>
    <ns0:mergeCell ref="C11:H11"/>
    <ns0:mergeCell ref="C46:H46"/>
    <ns0:mergeCell ref="B21:C21"/>
    <ns0:mergeCell ref="A54:B54"/>
    <ns0:mergeCell ref="A7:B7"/>
    <ns0:mergeCell ref="E18"/>
    <ns0:mergeCell ref="C52:H52"/>
    <ns0:mergeCell ref="C39:H39"/>
    <ns0:mergeCell ref="G18:H18"/>
    <ns0:mergeCell ref="A3:H3"/>
    <ns0:mergeCell ref="C13:H13"/>
    <ns0:mergeCell ref="A53:B53"/>
    <ns0:mergeCell ref="C15:H15"/>
    <ns0:mergeCell ref="A24:F24"/>
    <ns0:mergeCell ref="G20:H20"/>
    <ns0:mergeCell ref="G22:H22"/>
    <ns0:mergeCell ref="A9:B9"/>
    <ns0:mergeCell ref="C36:F36"/>
    <ns0:mergeCell ref="A39:B39"/>
    <ns0:mergeCell ref="C10:H10"/>
    <ns0:mergeCell ref="C16:H16"/>
    <ns0:mergeCell ref="C50:H50"/>
    <ns0:mergeCell ref="A11:B11"/>
    <ns0:mergeCell ref="A45:B45"/>
    <ns0:mergeCell ref="A60:H60"/>
    <ns0:mergeCell ref="C43:H43"/>
    <ns0:mergeCell ref="B18:C18"/>
    <ns0:mergeCell ref="A37:B37"/>
    <ns0:mergeCell ref="A46:B46"/>
    <ns0:mergeCell ref="G24:H24"/>
    <ns0:mergeCell ref="A2:H2"/>
    <ns0:mergeCell ref="G33:H33"/>
    <ns0:mergeCell ref="A32:E32"/>
    <ns0:mergeCell ref="A8:B8"/>
    <ns0:mergeCell ref="C6:H6"/>
    <ns0:mergeCell ref="A29:E29"/>
    <ns0:mergeCell ref="A62:H62"/>
    <ns0:mergeCell ref="A18"/>
    <ns0:mergeCell ref="A52:B52"/>
    <ns0:mergeCell ref="C14:H14"/>
    <ns0:mergeCell ref="G25:H25"/>
    <ns0:mergeCell ref="A10:B10"/>
    <ns0:mergeCell ref="A28:H28"/>
    <ns0:mergeCell ref="A31:E31"/>
    <ns0:mergeCell ref="C54:H54"/>
    <ns0:mergeCell ref="D18"/>
    <ns0:mergeCell ref="A49:B49"/>
    <ns0:mergeCell ref="A36:B36"/>
    <ns0:mergeCell ref="G37:H37"/>
    <ns0:mergeCell ref="A41:H41"/>
    <ns0:mergeCell ref="C8:H8"/>
    <ns0:mergeCell ref="A55:B55"/>
    <ns0:mergeCell ref="A26:H26"/>
    <ns0:mergeCell ref="C57:H57"/>
    <ns0:mergeCell ref="A57:B57"/>
    <ns0:mergeCell ref="B19:C19"/>
    <ns0:mergeCell ref="C53:H53"/>
    <ns0:mergeCell ref="A5:B5"/>
    <ns0:mergeCell ref="A14:B14"/>
    <ns0:mergeCell ref="C58:H58"/>
    <ns0:mergeCell ref="A35:H35"/>
    <ns0:mergeCell ref="A43:B43"/>
    <ns0:mergeCell ref="C5:H5"/>
    <ns0:mergeCell ref="B20:C20"/>
    <ns0:mergeCell ref="G32:H32"/>
    <ns0:mergeCell ref="C45:H45"/>
    <ns0:mergeCell ref="A34:H34"/>
    <ns0:mergeCell ref="A30:E30"/>
    <ns0:mergeCell ref="C47:H47"/>
    <ns0:mergeCell ref="C44:H44"/>
    <ns0:mergeCell ref="G36:H36"/>
    <ns0:mergeCell ref="A1:H1"/>
    <ns0:mergeCell ref="A6:B6"/>
    <ns0:mergeCell ref="A16:B16"/>
    <ns0:mergeCell ref="G19:H19"/>
    <ns0:mergeCell ref="C7:H7"/>
    <ns0:mergeCell ref="A50:B50"/>
    <ns0:mergeCell ref="G30:H30"/>
    <ns0:mergeCell ref="A47:B47"/>
    <ns0:mergeCell ref="A33:E33"/>
    <ns0:mergeCell ref="C49:H49"/>
    <ns0:mergeCell ref="F18"/>
    <ns0:mergeCell ref="G29:H29"/>
    <ns0:mergeCell ref="A13:B13"/>
    <ns0:mergeCell ref="G31:H31"/>
    <ns0:mergeCell ref="A44:B44"/>
    <ns0:mergeCell ref="A58:B58"/>
    <ns0:mergeCell ref="A25:F25"/>
  </ns0:mergeCells>
  <ns0:dataValidations count="2">
    <ns0:dataValidation sqref="D19:D22 F19:F22" showDropDown="0" showInputMessage="0" showErrorMessage="1" allowBlank="0" errorTitle="0以上の整数" error="数量・金額は0以上の整数で記入してください。" type="whole" operator="greaterThanOrEqual">
      <ns0:formula1>0</ns0:formula1>
    </ns0:dataValidation>
    <ns0:dataValidation sqref="F29:F31" showDropDown="0" showInputMessage="0" showErrorMessage="1" allowBlank="0" errorTitle="工程配分を確認" error="0〜100％で、3工程の合計を100％以下にしてください。" type="custom">
      <ns0:formula1>AND(F29&gt;=0,F29&lt;=1,SUM($F$29:$F$31)&lt;=1)</ns0:formula1>
    </ns0:dataValidation>
  </ns0:dataValidations>
  <ns0:pageMargins left="0.3" right="0.3" top="0.35" bottom="0.35" header="0.5" footer="0.5"/>
  <ns0:pageSetup orientation="portrait" paperSize="9" fitToHeight="0" fitToWidth="1"/>
  <ns0:headerFooter>
    <ns0:oddHeader/>
    <ns0:oddFooter>&amp;C&amp;8 &amp;P / &amp;N&amp;R専門サイト工房</ns0:oddFooter>
    <ns0:evenHeader/>
    <ns0:evenFooter/>
    <ns0:firstHeader/>
    <ns0:firstFooter/>
  </ns0:headerFooter>
  <ns0:rowBreaks count="1" manualBreakCount="1">
    <ns0:brk id="34" min="0" max="16383" man="1"/>
  </ns0:rowBreaks>
</ns0: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2026-10-05T08:53:11Z</dcterms:created>
  <dcterms:modified xmlns:dcterms="http://purl.org/dc/terms/" xmlns:xsi="http://www.w3.org/2001/XMLSchema-instance" xsi:type="dcterms:W3CDTF">2026-10-05T08:55:56Z</dcterms:modified>
</cp:coreProperties>
</file>